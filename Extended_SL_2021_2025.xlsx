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enydata-my.sharepoint.com/personal/anubhav_chakravarty_zenydata_com/Documents/"/>
    </mc:Choice>
  </mc:AlternateContent>
  <xr:revisionPtr revIDLastSave="23" documentId="8_{FBB9659D-447B-44A8-98F4-46B22C1F2F65}" xr6:coauthVersionLast="47" xr6:coauthVersionMax="47" xr10:uidLastSave="{F50A1F76-803A-4DEB-81BE-89C655319CC1}"/>
  <bookViews>
    <workbookView xWindow="-108" yWindow="-108" windowWidth="23256" windowHeight="12456" firstSheet="1" activeTab="1" xr2:uid="{00000000-000D-0000-FFFF-FFFF00000000}"/>
  </bookViews>
  <sheets>
    <sheet name="Sheet1" sheetId="2" r:id="rId1"/>
    <sheet name="10 SL" sheetId="1" r:id="rId2"/>
  </sheets>
  <definedNames>
    <definedName name="_xlnm._FilterDatabase" localSheetId="1" hidden="1">'10 SL'!$C$2:$W$82</definedName>
  </definedNames>
  <calcPr calcId="191028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/>
  <c r="U12" i="1"/>
  <c r="V12" i="1" s="1"/>
  <c r="U13" i="1"/>
  <c r="V13" i="1"/>
  <c r="U14" i="1"/>
  <c r="V14" i="1"/>
  <c r="U15" i="1"/>
  <c r="V15" i="1"/>
  <c r="U16" i="1"/>
  <c r="V16" i="1" s="1"/>
  <c r="U17" i="1"/>
  <c r="V17" i="1" s="1"/>
  <c r="U18" i="1"/>
  <c r="V18" i="1"/>
  <c r="U19" i="1"/>
  <c r="V19" i="1" s="1"/>
  <c r="U20" i="1"/>
  <c r="V20" i="1"/>
  <c r="U21" i="1"/>
  <c r="V21" i="1" s="1"/>
  <c r="U22" i="1"/>
  <c r="V22" i="1" s="1"/>
  <c r="U23" i="1"/>
  <c r="V23" i="1" s="1"/>
  <c r="U24" i="1"/>
  <c r="V24" i="1"/>
  <c r="U25" i="1"/>
  <c r="V25" i="1" s="1"/>
  <c r="U26" i="1"/>
  <c r="V26" i="1"/>
  <c r="U27" i="1"/>
  <c r="V27" i="1"/>
  <c r="U28" i="1"/>
  <c r="V28" i="1" s="1"/>
  <c r="U29" i="1"/>
  <c r="V29" i="1"/>
  <c r="U30" i="1"/>
  <c r="V30" i="1" s="1"/>
  <c r="U31" i="1"/>
  <c r="V31" i="1"/>
  <c r="U32" i="1"/>
  <c r="V32" i="1" s="1"/>
  <c r="U33" i="1"/>
  <c r="V33" i="1"/>
  <c r="U34" i="1"/>
  <c r="V34" i="1" s="1"/>
  <c r="U35" i="1"/>
  <c r="V35" i="1" s="1"/>
  <c r="U36" i="1"/>
  <c r="V36" i="1" s="1"/>
  <c r="U37" i="1"/>
  <c r="V37" i="1"/>
  <c r="U38" i="1"/>
  <c r="V38" i="1" s="1"/>
  <c r="U39" i="1"/>
  <c r="V39" i="1"/>
  <c r="U40" i="1"/>
  <c r="V40" i="1" s="1"/>
  <c r="U41" i="1"/>
  <c r="V41" i="1" s="1"/>
  <c r="U42" i="1"/>
  <c r="V42" i="1"/>
  <c r="U43" i="1"/>
  <c r="V43" i="1" s="1"/>
  <c r="U44" i="1"/>
  <c r="V44" i="1"/>
  <c r="U45" i="1"/>
  <c r="V45" i="1" s="1"/>
  <c r="U46" i="1"/>
  <c r="V46" i="1" s="1"/>
  <c r="U47" i="1"/>
  <c r="V47" i="1"/>
  <c r="U48" i="1"/>
  <c r="V48" i="1" s="1"/>
  <c r="U49" i="1"/>
  <c r="V49" i="1" s="1"/>
  <c r="U50" i="1"/>
  <c r="V50" i="1"/>
  <c r="U51" i="1"/>
  <c r="V51" i="1" s="1"/>
  <c r="U52" i="1"/>
  <c r="V52" i="1" s="1"/>
  <c r="U53" i="1"/>
  <c r="V53" i="1"/>
  <c r="U54" i="1"/>
  <c r="V54" i="1" s="1"/>
  <c r="U55" i="1"/>
  <c r="V55" i="1"/>
  <c r="U56" i="1"/>
  <c r="V56" i="1" s="1"/>
  <c r="U57" i="1"/>
  <c r="V57" i="1"/>
  <c r="U58" i="1"/>
  <c r="V58" i="1" s="1"/>
  <c r="U59" i="1"/>
  <c r="V59" i="1" s="1"/>
  <c r="U60" i="1"/>
  <c r="V60" i="1"/>
  <c r="U61" i="1"/>
  <c r="V61" i="1" s="1"/>
  <c r="U62" i="1"/>
  <c r="V62" i="1" s="1"/>
  <c r="U63" i="1"/>
  <c r="V63" i="1"/>
  <c r="U64" i="1"/>
  <c r="V64" i="1" s="1"/>
  <c r="U65" i="1"/>
  <c r="V65" i="1"/>
  <c r="U66" i="1"/>
  <c r="V66" i="1"/>
  <c r="U67" i="1"/>
  <c r="V67" i="1" s="1"/>
  <c r="U68" i="1"/>
  <c r="V68" i="1"/>
  <c r="U69" i="1"/>
  <c r="V69" i="1" s="1"/>
  <c r="U70" i="1"/>
  <c r="V70" i="1" s="1"/>
  <c r="U71" i="1"/>
  <c r="V71" i="1" s="1"/>
  <c r="U72" i="1"/>
  <c r="V72" i="1" s="1"/>
  <c r="U73" i="1"/>
  <c r="V73" i="1"/>
  <c r="U74" i="1"/>
  <c r="V74" i="1" s="1"/>
  <c r="U75" i="1"/>
  <c r="V75" i="1" s="1"/>
  <c r="U76" i="1"/>
  <c r="V76" i="1" s="1"/>
  <c r="U77" i="1"/>
  <c r="V77" i="1"/>
  <c r="U78" i="1"/>
  <c r="V78" i="1"/>
  <c r="U79" i="1"/>
  <c r="V79" i="1"/>
  <c r="U80" i="1"/>
  <c r="V80" i="1" s="1"/>
  <c r="U81" i="1"/>
  <c r="V81" i="1"/>
  <c r="U82" i="1"/>
  <c r="V82" i="1" s="1"/>
  <c r="U3" i="1"/>
  <c r="V3" i="1" s="1"/>
  <c r="M1" i="1"/>
  <c r="N1" i="1"/>
  <c r="O1" i="1"/>
  <c r="P1" i="1"/>
  <c r="Q1" i="1"/>
  <c r="R1" i="1"/>
  <c r="S1" i="1"/>
  <c r="T1" i="1"/>
  <c r="W1" i="1"/>
  <c r="L1" i="1"/>
  <c r="V1" i="1" l="1"/>
  <c r="U1" i="1"/>
</calcChain>
</file>

<file path=xl/sharedStrings.xml><?xml version="1.0" encoding="utf-8"?>
<sst xmlns="http://schemas.openxmlformats.org/spreadsheetml/2006/main" count="435" uniqueCount="46">
  <si>
    <t>Row Labels</t>
  </si>
  <si>
    <t>Sum of Total Revenue</t>
  </si>
  <si>
    <t>Sum of Raw Material</t>
  </si>
  <si>
    <t>Sum of Direct Labor</t>
  </si>
  <si>
    <t>Sum of Freight</t>
  </si>
  <si>
    <t>Sum of Storage</t>
  </si>
  <si>
    <t>Sum of Packaging</t>
  </si>
  <si>
    <t>Sum of Indirect Labor</t>
  </si>
  <si>
    <t>Sum of Rent &amp; Utility</t>
  </si>
  <si>
    <t>Sum of Overhead</t>
  </si>
  <si>
    <t>Sum of SG&amp;A</t>
  </si>
  <si>
    <t>Sum of COGS</t>
  </si>
  <si>
    <t>Sum of Gross Profit</t>
  </si>
  <si>
    <t>Grand Total</t>
  </si>
  <si>
    <t>Region</t>
  </si>
  <si>
    <t>Geo</t>
  </si>
  <si>
    <t>Country</t>
  </si>
  <si>
    <t>Item type</t>
  </si>
  <si>
    <t>Customer</t>
  </si>
  <si>
    <t>Order Id</t>
  </si>
  <si>
    <t>Order Date</t>
  </si>
  <si>
    <t>Year</t>
  </si>
  <si>
    <t>Mo</t>
  </si>
  <si>
    <t>Total Revenue</t>
  </si>
  <si>
    <t>Raw Material</t>
  </si>
  <si>
    <t>Direct Labor</t>
  </si>
  <si>
    <t>Freight</t>
  </si>
  <si>
    <t>Storage</t>
  </si>
  <si>
    <t>Packaging</t>
  </si>
  <si>
    <t>Indirect Labor</t>
  </si>
  <si>
    <t>Rent &amp; Utility</t>
  </si>
  <si>
    <t>Overhead</t>
  </si>
  <si>
    <t>COGS</t>
  </si>
  <si>
    <t>Gross Profit</t>
  </si>
  <si>
    <t>SG&amp;A</t>
  </si>
  <si>
    <t>Australia &amp; Oceania</t>
  </si>
  <si>
    <t>APAC</t>
  </si>
  <si>
    <t>Australia</t>
  </si>
  <si>
    <t>Office Supplies</t>
  </si>
  <si>
    <t>ABC Infra</t>
  </si>
  <si>
    <t>Cereal</t>
  </si>
  <si>
    <t>XYZ Food</t>
  </si>
  <si>
    <t>Beverages</t>
  </si>
  <si>
    <t>MNO Coffee</t>
  </si>
  <si>
    <t>Clothes</t>
  </si>
  <si>
    <t>PQR 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</si>
</sst>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\ h:mm:ss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35" formatCode="_ * #,##0.00_ ;_ * \-#,##0.00_ ;_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v Chakravarty" refreshedDate="46135.278979745373" createdVersion="8" refreshedVersion="8" minRefreshableVersion="3" recordCount="80" xr:uid="{54D95DCB-39ED-4538-B228-85C47687DA09}">
  <cacheSource type="worksheet">
    <worksheetSource ref="C2:W82" sheet="10 SL"/>
  </cacheSource>
  <cacheFields count="21">
    <cacheField name="Region" numFmtId="0">
      <sharedItems/>
    </cacheField>
    <cacheField name="Geo" numFmtId="0">
      <sharedItems/>
    </cacheField>
    <cacheField name="Country" numFmtId="0">
      <sharedItems/>
    </cacheField>
    <cacheField name="Item type" numFmtId="0">
      <sharedItems/>
    </cacheField>
    <cacheField name="Customer" numFmtId="0">
      <sharedItems/>
    </cacheField>
    <cacheField name="Order Id" numFmtId="0">
      <sharedItems containsSemiMixedTypes="0" containsString="0" containsNumber="1" containsInteger="1" minValue="158535134" maxValue="665100395"/>
    </cacheField>
    <cacheField name="Order Date" numFmtId="164">
      <sharedItems containsSemiMixedTypes="0" containsNonDate="0" containsDate="1" containsString="0" minDate="2021-01-09T00:00:00" maxDate="2025-12-16T00:00:00"/>
    </cacheField>
    <cacheField name="Year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Mo" numFmtId="0">
      <sharedItems containsSemiMixedTypes="0" containsString="0" containsNumber="1" containsInteger="1" minValue="1" maxValue="12"/>
    </cacheField>
    <cacheField name="Total Revenue" numFmtId="0">
      <sharedItems containsSemiMixedTypes="0" containsString="0" containsNumber="1" minValue="102720.79" maxValue="603232.54"/>
    </cacheField>
    <cacheField name="Raw Material" numFmtId="0">
      <sharedItems containsSemiMixedTypes="0" containsString="0" containsNumber="1" minValue="59283.839999999997" maxValue="362411.89"/>
    </cacheField>
    <cacheField name="Direct Labor" numFmtId="0">
      <sharedItems containsSemiMixedTypes="0" containsString="0" containsNumber="1" minValue="12350.8" maxValue="76173.320000000007"/>
    </cacheField>
    <cacheField name="Freight" numFmtId="0">
      <sharedItems containsSemiMixedTypes="0" containsString="0" containsNumber="1" minValue="494.03" maxValue="7145.15"/>
    </cacheField>
    <cacheField name="Storage" numFmtId="0">
      <sharedItems containsSemiMixedTypes="0" containsString="0" containsNumber="1" minValue="3952.26" maxValue="24069.31"/>
    </cacheField>
    <cacheField name="Packaging" numFmtId="0">
      <sharedItems containsSemiMixedTypes="0" containsString="0" containsNumber="1" minValue="494.03" maxValue="9192.49"/>
    </cacheField>
    <cacheField name="Indirect Labor" numFmtId="0">
      <sharedItems containsSemiMixedTypes="0" containsString="0" containsNumber="1" minValue="3952.26" maxValue="25706.44"/>
    </cacheField>
    <cacheField name="Rent &amp; Utility" numFmtId="0">
      <sharedItems containsSemiMixedTypes="0" containsString="0" containsNumber="1" minValue="2466.54" maxValue="23286.639999999999"/>
    </cacheField>
    <cacheField name="Overhead" numFmtId="0">
      <sharedItems containsSemiMixedTypes="0" containsString="0" containsNumber="1" minValue="986.62" maxValue="12425.27"/>
    </cacheField>
    <cacheField name="COGS" numFmtId="0">
      <sharedItems containsSemiMixedTypes="0" containsString="0" containsNumber="1" minValue="83985.439999999988" maxValue="515880.35000000003"/>
    </cacheField>
    <cacheField name="Gross Profit" numFmtId="0">
      <sharedItems containsSemiMixedTypes="0" containsString="0" containsNumber="1" minValue="9668.8699999999662" maxValue="285981.19"/>
    </cacheField>
    <cacheField name="SG&amp;A" numFmtId="0">
      <sharedItems containsSemiMixedTypes="0" containsString="0" containsNumber="1" minValue="3219" maxValue="119052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Australia &amp; Oceania"/>
    <s v="APAC"/>
    <s v="Australia"/>
    <s v="Office Supplies"/>
    <s v="ABC Infra"/>
    <n v="158535134"/>
    <d v="2021-01-09T00:00:00"/>
    <x v="0"/>
    <n v="1"/>
    <n v="330115.3"/>
    <n v="137693.31"/>
    <n v="37019.440000000002"/>
    <n v="5480.78"/>
    <n v="17846.22"/>
    <n v="6480.78"/>
    <n v="17846.22"/>
    <n v="17403.89"/>
    <n v="8961.56"/>
    <n v="248732.2"/>
    <n v="81383.099999999977"/>
    <n v="30946.53"/>
  </r>
  <r>
    <s v="Australia &amp; Oceania"/>
    <s v="APAC"/>
    <s v="Australia"/>
    <s v="Cereal"/>
    <s v="ABC Infra"/>
    <n v="158535134"/>
    <d v="2021-01-09T00:00:00"/>
    <x v="0"/>
    <n v="1"/>
    <n v="330115.3"/>
    <n v="137693.31"/>
    <n v="37019.440000000002"/>
    <n v="5480.78"/>
    <n v="17846.22"/>
    <n v="6480.78"/>
    <n v="17846.22"/>
    <n v="17403.89"/>
    <n v="8961.56"/>
    <n v="248732.2"/>
    <n v="81383.099999999977"/>
    <n v="40946.53"/>
  </r>
  <r>
    <s v="Australia &amp; Oceania"/>
    <s v="APAC"/>
    <s v="Australia"/>
    <s v="Cereal"/>
    <s v="XYZ Food"/>
    <n v="450563752"/>
    <d v="2021-01-16T00:00:00"/>
    <x v="0"/>
    <n v="1"/>
    <n v="232958.02"/>
    <n v="159197.04"/>
    <n v="32332.720000000001"/>
    <n v="2493.31"/>
    <n v="11946.47"/>
    <n v="1493.31"/>
    <n v="9946.4699999999993"/>
    <n v="2466.54"/>
    <n v="986.62"/>
    <n v="220862.48"/>
    <n v="12095.539999999979"/>
    <n v="6934.65"/>
  </r>
  <r>
    <s v="Australia &amp; Oceania"/>
    <s v="APAC"/>
    <s v="Australia"/>
    <s v="Beverages"/>
    <s v="MNO Coffee"/>
    <n v="240470397"/>
    <d v="2021-01-23T00:00:00"/>
    <x v="0"/>
    <n v="1"/>
    <n v="406900.23"/>
    <n v="221223.62"/>
    <n v="46088.25"/>
    <n v="1843.53"/>
    <n v="14748.24"/>
    <n v="1843.53"/>
    <n v="14748.24"/>
    <n v="9217.65"/>
    <n v="3687.06"/>
    <n v="313400.12000000005"/>
    <n v="93500.109999999928"/>
    <n v="38120.74"/>
  </r>
  <r>
    <s v="Australia &amp; Oceania"/>
    <s v="APAC"/>
    <s v="Australia"/>
    <s v="Beverages"/>
    <s v="MNO Coffee"/>
    <n v="240470397"/>
    <d v="2021-01-23T00:00:00"/>
    <x v="0"/>
    <n v="1"/>
    <n v="426900.23"/>
    <n v="221223.62"/>
    <n v="46088.25"/>
    <n v="1843.53"/>
    <n v="14748.24"/>
    <n v="1843.53"/>
    <n v="14748.24"/>
    <n v="9217.65"/>
    <n v="3687.06"/>
    <n v="313400.12000000005"/>
    <n v="113500.10999999993"/>
    <n v="88120.74"/>
  </r>
  <r>
    <s v="Australia &amp; Oceania"/>
    <s v="APAC"/>
    <s v="Australia"/>
    <s v="Office Supplies"/>
    <s v="ABC Infra"/>
    <n v="665095811"/>
    <d v="2021-03-05T00:00:00"/>
    <x v="0"/>
    <n v="3"/>
    <n v="158952.26999999999"/>
    <n v="78082.399999999994"/>
    <n v="37100.5"/>
    <n v="2484.02"/>
    <n v="12872.16"/>
    <n v="1484.02"/>
    <n v="9872.16"/>
    <n v="3420.1"/>
    <n v="3968.04"/>
    <n v="149283.40000000002"/>
    <n v="9668.8699999999662"/>
    <n v="3336.16"/>
  </r>
  <r>
    <s v="Australia &amp; Oceania"/>
    <s v="APAC"/>
    <s v="Australia"/>
    <s v="Office Supplies"/>
    <s v="ABC Infra"/>
    <n v="665095811"/>
    <d v="2021-03-05T00:00:00"/>
    <x v="0"/>
    <n v="3"/>
    <n v="178952.27"/>
    <n v="78082.399999999994"/>
    <n v="37100.5"/>
    <n v="2484.02"/>
    <n v="12872.16"/>
    <n v="1484.02"/>
    <n v="9872.16"/>
    <n v="3420.1"/>
    <n v="3968.04"/>
    <n v="149283.40000000002"/>
    <n v="29668.869999999966"/>
    <n v="3336.16"/>
  </r>
  <r>
    <s v="Australia &amp; Oceania"/>
    <s v="APAC"/>
    <s v="Australia"/>
    <s v="Cereal"/>
    <s v="XYZ Food"/>
    <n v="665096007"/>
    <d v="2021-04-02T00:00:00"/>
    <x v="0"/>
    <n v="4"/>
    <n v="104953.91"/>
    <n v="59283.839999999997"/>
    <n v="12350.8"/>
    <n v="494.03"/>
    <n v="3952.26"/>
    <n v="494.03"/>
    <n v="3952.26"/>
    <n v="2470.16"/>
    <n v="988.06"/>
    <n v="83985.439999999988"/>
    <n v="20968.470000000016"/>
    <n v="10935.02"/>
  </r>
  <r>
    <s v="Australia &amp; Oceania"/>
    <s v="APAC"/>
    <s v="Australia"/>
    <s v="Beverages"/>
    <s v="MNO Coffee"/>
    <n v="665096224"/>
    <d v="2021-05-03T00:00:00"/>
    <x v="0"/>
    <n v="5"/>
    <n v="394836.26"/>
    <n v="221247.18"/>
    <n v="46093.16"/>
    <n v="1843.73"/>
    <n v="14749.81"/>
    <n v="1843.73"/>
    <n v="14749.81"/>
    <n v="9218.6299999999992"/>
    <n v="3687.45"/>
    <n v="313433.49999999994"/>
    <n v="81402.760000000068"/>
    <n v="30861.46"/>
  </r>
  <r>
    <s v="Australia &amp; Oceania"/>
    <s v="APAC"/>
    <s v="Australia"/>
    <s v="Office Supplies"/>
    <s v="ABC Infra"/>
    <n v="665096679"/>
    <d v="2021-07-07T00:00:00"/>
    <x v="0"/>
    <n v="7"/>
    <n v="153475.63"/>
    <n v="68471.490000000005"/>
    <n v="37181.56"/>
    <n v="1487.26"/>
    <n v="15898.1"/>
    <n v="1487.26"/>
    <n v="5898.1"/>
    <n v="7436.31"/>
    <n v="1974.52"/>
    <n v="139834.6"/>
    <n v="13641.029999999999"/>
    <n v="3219"/>
  </r>
  <r>
    <s v="Australia &amp; Oceania"/>
    <s v="APAC"/>
    <s v="Australia"/>
    <s v="Cereal"/>
    <s v="XYZ Food"/>
    <n v="665096875"/>
    <d v="2021-08-04T00:00:00"/>
    <x v="0"/>
    <n v="8"/>
    <n v="118394.38"/>
    <n v="59370.64"/>
    <n v="12368.88"/>
    <n v="494.76"/>
    <n v="3958.04"/>
    <n v="494.76"/>
    <n v="3958.04"/>
    <n v="2473.7800000000002"/>
    <n v="989.51"/>
    <n v="84108.409999999974"/>
    <n v="34285.97000000003"/>
    <n v="18602.8"/>
  </r>
  <r>
    <s v="Australia &amp; Oceania"/>
    <s v="APAC"/>
    <s v="Australia"/>
    <s v="Beverages"/>
    <s v="MNO Coffee"/>
    <n v="665097092"/>
    <d v="2021-09-04T00:00:00"/>
    <x v="0"/>
    <n v="9"/>
    <n v="416223.21"/>
    <n v="221270.74"/>
    <n v="46098.07"/>
    <n v="1843.92"/>
    <n v="14751.38"/>
    <n v="1843.92"/>
    <n v="14751.38"/>
    <n v="9219.61"/>
    <n v="3687.85"/>
    <n v="313466.86999999994"/>
    <n v="102756.34000000008"/>
    <n v="75600.84"/>
  </r>
  <r>
    <s v="Australia &amp; Oceania"/>
    <s v="APAC"/>
    <s v="Australia"/>
    <s v="Office Supplies"/>
    <s v="ABC Infra"/>
    <n v="665097547"/>
    <d v="2021-11-08T00:00:00"/>
    <x v="0"/>
    <n v="11"/>
    <n v="300396.74"/>
    <n v="108860.58"/>
    <n v="37262.620000000003"/>
    <n v="1490.5"/>
    <n v="5924.04"/>
    <n v="1490.5"/>
    <n v="10924.04"/>
    <n v="7452.52"/>
    <n v="1981.01"/>
    <n v="175385.81000000003"/>
    <n v="125010.92999999996"/>
    <n v="85913.85"/>
  </r>
  <r>
    <s v="Australia &amp; Oceania"/>
    <s v="APAC"/>
    <s v="Australia"/>
    <s v="Beverages"/>
    <s v="MNO Coffee"/>
    <n v="665097092"/>
    <d v="2021-11-11T00:00:00"/>
    <x v="0"/>
    <n v="11"/>
    <n v="427500"/>
    <n v="269280"/>
    <n v="56100"/>
    <n v="2244"/>
    <n v="17952"/>
    <n v="2244"/>
    <n v="17952"/>
    <n v="11220"/>
    <n v="4488"/>
    <n v="381480"/>
    <n v="46020"/>
    <n v="28923.87"/>
  </r>
  <r>
    <s v="Australia &amp; Oceania"/>
    <s v="APAC"/>
    <s v="Australia"/>
    <s v="Cereal"/>
    <s v="XYZ Food"/>
    <n v="665097743"/>
    <d v="2021-12-06T00:00:00"/>
    <x v="0"/>
    <n v="12"/>
    <n v="102720.79"/>
    <n v="59457.440000000002"/>
    <n v="12386.97"/>
    <n v="495.48"/>
    <n v="3963.83"/>
    <n v="495.48"/>
    <n v="3963.83"/>
    <n v="2477.39"/>
    <n v="990.96"/>
    <n v="84231.38"/>
    <n v="18489.409999999989"/>
    <n v="8314.6200000000008"/>
  </r>
  <r>
    <s v="Australia &amp; Oceania"/>
    <s v="APAC"/>
    <s v="Australia"/>
    <s v="Clothes"/>
    <s v="PQR Fashion"/>
    <n v="665100347"/>
    <d v="2021-12-15T00:00:00"/>
    <x v="0"/>
    <n v="12"/>
    <n v="290000"/>
    <n v="59717.83"/>
    <n v="12441.22"/>
    <n v="497.65"/>
    <n v="3981.19"/>
    <n v="497.65"/>
    <n v="3981.19"/>
    <n v="2488.2399999999998"/>
    <n v="995.3"/>
    <n v="84600.27"/>
    <n v="205399.72999999998"/>
    <n v="25479.61"/>
  </r>
  <r>
    <s v="Australia &amp; Oceania"/>
    <s v="APAC"/>
    <s v="Australia"/>
    <s v="Office Supplies"/>
    <s v="ABC Infra"/>
    <n v="665100348"/>
    <d v="2022-01-09T00:00:00"/>
    <x v="1"/>
    <n v="1"/>
    <n v="348067.93"/>
    <n v="143836.28"/>
    <n v="39666.21"/>
    <n v="5817.3"/>
    <n v="18606.78"/>
    <n v="7064.05"/>
    <n v="18543"/>
    <n v="18579.740000000002"/>
    <n v="9765.9500000000007"/>
    <n v="261879.30999999997"/>
    <n v="86188.620000000024"/>
    <n v="34199.050000000003"/>
  </r>
  <r>
    <s v="Australia &amp; Oceania"/>
    <s v="APAC"/>
    <s v="Australia"/>
    <s v="Cereal"/>
    <s v="ABC Infra"/>
    <n v="665100348"/>
    <d v="2022-01-09T00:00:00"/>
    <x v="1"/>
    <n v="1"/>
    <n v="365904.47"/>
    <n v="142175.54999999999"/>
    <n v="38538.559999999998"/>
    <n v="5725.24"/>
    <n v="19460.060000000001"/>
    <n v="7093.51"/>
    <n v="19191.04"/>
    <n v="18633.259999999998"/>
    <n v="9785.43"/>
    <n v="260602.65"/>
    <n v="105301.81999999998"/>
    <n v="43174.87"/>
  </r>
  <r>
    <s v="Australia &amp; Oceania"/>
    <s v="APAC"/>
    <s v="Australia"/>
    <s v="Cereal"/>
    <s v="XYZ Food"/>
    <n v="665100349"/>
    <d v="2022-01-16T00:00:00"/>
    <x v="1"/>
    <n v="1"/>
    <n v="252067.35"/>
    <n v="164708.13"/>
    <n v="34258.06"/>
    <n v="2736.5"/>
    <n v="12844.44"/>
    <n v="1552.8"/>
    <n v="10918.41"/>
    <n v="2692.16"/>
    <n v="1047.8699999999999"/>
    <n v="230758.37"/>
    <n v="21308.98000000001"/>
    <n v="7220.93"/>
  </r>
  <r>
    <s v="Australia &amp; Oceania"/>
    <s v="APAC"/>
    <s v="Australia"/>
    <s v="Beverages"/>
    <s v="MNO Coffee"/>
    <n v="665100350"/>
    <d v="2022-01-23T00:00:00"/>
    <x v="1"/>
    <n v="1"/>
    <n v="435363.3"/>
    <n v="228193.04"/>
    <n v="51094.5"/>
    <n v="1960.62"/>
    <n v="15448.52"/>
    <n v="1977.84"/>
    <n v="16223.57"/>
    <n v="10137.02"/>
    <n v="3853.98"/>
    <n v="328889.09000000008"/>
    <n v="106474.2099999999"/>
    <n v="40666.699999999997"/>
  </r>
  <r>
    <s v="Australia &amp; Oceania"/>
    <s v="APAC"/>
    <s v="Australia"/>
    <s v="Beverages"/>
    <s v="MNO Coffee"/>
    <n v="665100350"/>
    <d v="2022-01-23T00:00:00"/>
    <x v="1"/>
    <n v="1"/>
    <n v="469834.23999999999"/>
    <n v="227714.92"/>
    <n v="48629.11"/>
    <n v="1953.34"/>
    <n v="15922.88"/>
    <n v="2026.9"/>
    <n v="15264.93"/>
    <n v="9789.17"/>
    <n v="4036"/>
    <n v="325337.25000000006"/>
    <n v="144496.98999999993"/>
    <n v="95574.74"/>
  </r>
  <r>
    <s v="Australia &amp; Oceania"/>
    <s v="APAC"/>
    <s v="Australia"/>
    <s v="Office Supplies"/>
    <s v="ABC Infra"/>
    <n v="665100351"/>
    <d v="2022-03-05T00:00:00"/>
    <x v="1"/>
    <n v="3"/>
    <n v="168992.96"/>
    <n v="80706.759999999995"/>
    <n v="39828.86"/>
    <n v="2559.4299999999998"/>
    <n v="13697.43"/>
    <n v="1560.44"/>
    <n v="10196.17"/>
    <n v="3671.42"/>
    <n v="4284.66"/>
    <n v="156505.17000000001"/>
    <n v="12487.789999999979"/>
    <n v="3690.23"/>
  </r>
  <r>
    <s v="Australia &amp; Oceania"/>
    <s v="APAC"/>
    <s v="Australia"/>
    <s v="Office Supplies"/>
    <s v="ABC Infra"/>
    <n v="665100351"/>
    <d v="2022-03-05T00:00:00"/>
    <x v="1"/>
    <n v="3"/>
    <n v="194484.22"/>
    <n v="86804.24"/>
    <n v="40358.04"/>
    <n v="2654.42"/>
    <n v="13602.23"/>
    <n v="1545.97"/>
    <n v="10401.68"/>
    <n v="3554.33"/>
    <n v="4401.9399999999996"/>
    <n v="163322.84999999998"/>
    <n v="31161.370000000024"/>
    <n v="3650.81"/>
  </r>
  <r>
    <s v="Australia &amp; Oceania"/>
    <s v="APAC"/>
    <s v="Australia"/>
    <s v="Cereal"/>
    <s v="XYZ Food"/>
    <n v="665100352"/>
    <d v="2022-04-02T00:00:00"/>
    <x v="1"/>
    <n v="4"/>
    <n v="108718.46"/>
    <n v="64759.42"/>
    <n v="12989.13"/>
    <n v="532.75"/>
    <n v="4130.6000000000004"/>
    <n v="545.19000000000005"/>
    <n v="4174.17"/>
    <n v="2716.39"/>
    <n v="1017.42"/>
    <n v="90865.07"/>
    <n v="17853.39"/>
    <n v="11931.19"/>
  </r>
  <r>
    <s v="Australia &amp; Oceania"/>
    <s v="APAC"/>
    <s v="Australia"/>
    <s v="Beverages"/>
    <s v="MNO Coffee"/>
    <n v="665100353"/>
    <d v="2022-05-03T00:00:00"/>
    <x v="1"/>
    <n v="5"/>
    <n v="425933.1"/>
    <n v="242040.53"/>
    <n v="49045.42"/>
    <n v="1906.43"/>
    <n v="15872.99"/>
    <n v="2049.0100000000002"/>
    <n v="16024.17"/>
    <n v="10164.52"/>
    <n v="3934.32"/>
    <n v="341037.39"/>
    <n v="84895.709999999963"/>
    <n v="32745.84"/>
  </r>
  <r>
    <s v="Australia &amp; Oceania"/>
    <s v="APAC"/>
    <s v="Australia"/>
    <s v="Office Supplies"/>
    <s v="ABC Infra"/>
    <n v="665100354"/>
    <d v="2022-07-07T00:00:00"/>
    <x v="1"/>
    <n v="7"/>
    <n v="162264.51"/>
    <n v="73112.149999999994"/>
    <n v="40962.81"/>
    <n v="1575.97"/>
    <n v="16532.18"/>
    <n v="1580.9"/>
    <n v="6401.27"/>
    <n v="7991.72"/>
    <n v="2098.2199999999998"/>
    <n v="150255.21999999997"/>
    <n v="12009.290000000037"/>
    <n v="3317.11"/>
  </r>
  <r>
    <s v="Australia &amp; Oceania"/>
    <s v="APAC"/>
    <s v="Australia"/>
    <s v="Cereal"/>
    <s v="XYZ Food"/>
    <n v="665100355"/>
    <d v="2022-08-04T00:00:00"/>
    <x v="1"/>
    <n v="8"/>
    <n v="128481.04"/>
    <n v="62359.73"/>
    <n v="13669.08"/>
    <n v="545.95000000000005"/>
    <n v="4094.87"/>
    <n v="509.57"/>
    <n v="4197.82"/>
    <n v="2579.1"/>
    <n v="1070.29"/>
    <n v="89026.409999999989"/>
    <n v="39454.630000000005"/>
    <n v="19358.36"/>
  </r>
  <r>
    <s v="Australia &amp; Oceania"/>
    <s v="APAC"/>
    <s v="Australia"/>
    <s v="Beverages"/>
    <s v="MNO Coffee"/>
    <n v="665100356"/>
    <d v="2022-09-04T00:00:00"/>
    <x v="1"/>
    <n v="9"/>
    <n v="455531.51"/>
    <n v="231199.99"/>
    <n v="47967.93"/>
    <n v="1999.82"/>
    <n v="15393.28"/>
    <n v="1992.12"/>
    <n v="16319.06"/>
    <n v="9690.56"/>
    <n v="3832.92"/>
    <n v="328395.68"/>
    <n v="127135.83000000002"/>
    <n v="81384.39"/>
  </r>
  <r>
    <s v="Australia &amp; Oceania"/>
    <s v="APAC"/>
    <s v="Australia"/>
    <s v="Office Supplies"/>
    <s v="ABC Infra"/>
    <n v="665100357"/>
    <d v="2022-11-08T00:00:00"/>
    <x v="1"/>
    <n v="11"/>
    <n v="315479.55"/>
    <n v="115124.25"/>
    <n v="39730.53"/>
    <n v="1583.4"/>
    <n v="6175.48"/>
    <n v="1617.66"/>
    <n v="11768.82"/>
    <n v="7678.22"/>
    <n v="2095.31"/>
    <n v="185773.67"/>
    <n v="129705.87999999998"/>
    <n v="94878.14"/>
  </r>
  <r>
    <s v="Australia &amp; Oceania"/>
    <s v="APAC"/>
    <s v="Australia"/>
    <s v="Beverages"/>
    <s v="MNO Coffee"/>
    <n v="665100356"/>
    <d v="2022-11-11T00:00:00"/>
    <x v="1"/>
    <n v="11"/>
    <n v="467859.14"/>
    <n v="297602.27"/>
    <n v="59114.92"/>
    <n v="2319.91"/>
    <n v="19456"/>
    <n v="2490.2399999999998"/>
    <n v="19791.419999999998"/>
    <n v="12335.95"/>
    <n v="4682.2"/>
    <n v="417792.91"/>
    <n v="50066.23000000004"/>
    <n v="31384.19"/>
  </r>
  <r>
    <s v="Australia &amp; Oceania"/>
    <s v="APAC"/>
    <s v="Australia"/>
    <s v="Cereal"/>
    <s v="XYZ Food"/>
    <n v="665100358"/>
    <d v="2022-12-06T00:00:00"/>
    <x v="1"/>
    <n v="12"/>
    <n v="106182.16"/>
    <n v="65093.09"/>
    <n v="13611.61"/>
    <n v="537.62"/>
    <n v="4157.54"/>
    <n v="547.82000000000005"/>
    <n v="4080.28"/>
    <n v="2621.8"/>
    <n v="1089.92"/>
    <n v="91739.68"/>
    <n v="14442.48000000001"/>
    <n v="8759.11"/>
  </r>
  <r>
    <s v="Australia &amp; Oceania"/>
    <s v="APAC"/>
    <s v="Australia"/>
    <s v="Clothes"/>
    <s v="PQR Fashion"/>
    <n v="665100359"/>
    <d v="2022-12-15T00:00:00"/>
    <x v="1"/>
    <n v="12"/>
    <n v="306890.57"/>
    <n v="64727.33"/>
    <n v="13488.13"/>
    <n v="524.25"/>
    <n v="4240.57"/>
    <n v="524.74"/>
    <n v="4426.78"/>
    <n v="2567.2199999999998"/>
    <n v="1062.06"/>
    <n v="91561.08"/>
    <n v="215329.49"/>
    <n v="27556.89"/>
  </r>
  <r>
    <s v="Australia &amp; Oceania"/>
    <s v="APAC"/>
    <s v="Australia"/>
    <s v="Office Supplies"/>
    <s v="ABC Infra"/>
    <n v="665100360"/>
    <d v="2023-01-09T00:00:00"/>
    <x v="2"/>
    <n v="1"/>
    <n v="368277.81"/>
    <n v="154561.35"/>
    <n v="42941.99"/>
    <n v="6186.98"/>
    <n v="19290.939999999999"/>
    <n v="7554.48"/>
    <n v="20120.099999999999"/>
    <n v="19761.73"/>
    <n v="10617.85"/>
    <n v="281035.42"/>
    <n v="87242.390000000014"/>
    <n v="35203.199999999997"/>
  </r>
  <r>
    <s v="Australia &amp; Oceania"/>
    <s v="APAC"/>
    <s v="Australia"/>
    <s v="Cereal"/>
    <s v="ABC Infra"/>
    <n v="665100360"/>
    <d v="2023-01-09T00:00:00"/>
    <x v="2"/>
    <n v="1"/>
    <n v="378675.08"/>
    <n v="155896.39000000001"/>
    <n v="40647.35"/>
    <n v="6011.27"/>
    <n v="21063.01"/>
    <n v="7817.68"/>
    <n v="19870.57"/>
    <n v="19772.02"/>
    <n v="10441.11"/>
    <n v="281519.40000000002"/>
    <n v="97155.68"/>
    <n v="45533.78"/>
  </r>
  <r>
    <s v="Australia &amp; Oceania"/>
    <s v="APAC"/>
    <s v="Australia"/>
    <s v="Cereal"/>
    <s v="XYZ Food"/>
    <n v="665100361"/>
    <d v="2023-01-16T00:00:00"/>
    <x v="2"/>
    <n v="1"/>
    <n v="269584.28000000003"/>
    <n v="176744.83"/>
    <n v="36662.410000000003"/>
    <n v="3017.79"/>
    <n v="13858.19"/>
    <n v="1683.69"/>
    <n v="11972.12"/>
    <n v="2929.51"/>
    <n v="1102.69"/>
    <n v="247971.23"/>
    <n v="21613.050000000017"/>
    <n v="7564.52"/>
  </r>
  <r>
    <s v="Australia &amp; Oceania"/>
    <s v="APAC"/>
    <s v="Australia"/>
    <s v="Beverages"/>
    <s v="MNO Coffee"/>
    <n v="665100362"/>
    <d v="2023-01-23T00:00:00"/>
    <x v="2"/>
    <n v="1"/>
    <n v="461734.88"/>
    <n v="247402.9"/>
    <n v="52996.74"/>
    <n v="2135.73"/>
    <n v="16801.27"/>
    <n v="2186.4"/>
    <n v="17211.84"/>
    <n v="11127.45"/>
    <n v="4248.13"/>
    <n v="354110.46000000008"/>
    <n v="107624.41999999993"/>
    <n v="42737.2"/>
  </r>
  <r>
    <s v="Australia &amp; Oceania"/>
    <s v="APAC"/>
    <s v="Australia"/>
    <s v="Beverages"/>
    <s v="MNO Coffee"/>
    <n v="665100362"/>
    <d v="2023-01-23T00:00:00"/>
    <x v="2"/>
    <n v="1"/>
    <n v="483964.09"/>
    <n v="241093.86"/>
    <n v="51192.02"/>
    <n v="2112.21"/>
    <n v="16488.87"/>
    <n v="2164.86"/>
    <n v="16325.93"/>
    <n v="10284.33"/>
    <n v="4391.04"/>
    <n v="344053.12"/>
    <n v="139910.97000000003"/>
    <n v="105494.05"/>
  </r>
  <r>
    <s v="Australia &amp; Oceania"/>
    <s v="APAC"/>
    <s v="Australia"/>
    <s v="Office Supplies"/>
    <s v="ABC Infra"/>
    <n v="665100363"/>
    <d v="2023-03-05T00:00:00"/>
    <x v="2"/>
    <n v="3"/>
    <n v="186466.9"/>
    <n v="83164.94"/>
    <n v="43244.88"/>
    <n v="2748.38"/>
    <n v="14448.46"/>
    <n v="1670.01"/>
    <n v="10609.12"/>
    <n v="4077.56"/>
    <n v="4734.87"/>
    <n v="164698.22"/>
    <n v="21768.679999999993"/>
    <n v="4025.16"/>
  </r>
  <r>
    <s v="Australia &amp; Oceania"/>
    <s v="APAC"/>
    <s v="Australia"/>
    <s v="Office Supplies"/>
    <s v="ABC Infra"/>
    <n v="665100363"/>
    <d v="2023-03-05T00:00:00"/>
    <x v="2"/>
    <n v="3"/>
    <n v="207824.8"/>
    <n v="90039.59"/>
    <n v="41564.69"/>
    <n v="2919.47"/>
    <n v="15087.72"/>
    <n v="1630.87"/>
    <n v="11196.27"/>
    <n v="3686.74"/>
    <n v="4625.79"/>
    <n v="170751.13999999998"/>
    <n v="37073.660000000003"/>
    <n v="3908.91"/>
  </r>
  <r>
    <s v="Australia &amp; Oceania"/>
    <s v="APAC"/>
    <s v="Australia"/>
    <s v="Cereal"/>
    <s v="XYZ Food"/>
    <n v="665100364"/>
    <d v="2023-04-02T00:00:00"/>
    <x v="2"/>
    <n v="4"/>
    <n v="120271.29"/>
    <n v="67148.509999999995"/>
    <n v="13977.4"/>
    <n v="556.5"/>
    <n v="4499.3599999999997"/>
    <n v="583.72"/>
    <n v="4643.62"/>
    <n v="2979.35"/>
    <n v="1129.3"/>
    <n v="95517.759999999995"/>
    <n v="24753.53"/>
    <n v="13105.82"/>
  </r>
  <r>
    <s v="Australia &amp; Oceania"/>
    <s v="APAC"/>
    <s v="Australia"/>
    <s v="Beverages"/>
    <s v="MNO Coffee"/>
    <n v="665100365"/>
    <d v="2023-05-03T00:00:00"/>
    <x v="2"/>
    <n v="5"/>
    <n v="470729.02"/>
    <n v="265131.48"/>
    <n v="53914.1"/>
    <n v="2055.46"/>
    <n v="17608.73"/>
    <n v="2219.19"/>
    <n v="17720.75"/>
    <n v="10769.93"/>
    <n v="4103.45"/>
    <n v="373523.08999999997"/>
    <n v="97205.930000000051"/>
    <n v="35519.33"/>
  </r>
  <r>
    <s v="Australia &amp; Oceania"/>
    <s v="APAC"/>
    <s v="Australia"/>
    <s v="Office Supplies"/>
    <s v="ABC Infra"/>
    <n v="665100366"/>
    <d v="2023-07-07T00:00:00"/>
    <x v="2"/>
    <n v="7"/>
    <n v="178887.89"/>
    <n v="80740.149999999994"/>
    <n v="45518.29"/>
    <n v="1693.54"/>
    <n v="17728.43"/>
    <n v="1636.42"/>
    <n v="6600.71"/>
    <n v="8307.6299999999992"/>
    <n v="2276.77"/>
    <n v="164501.94"/>
    <n v="14385.950000000012"/>
    <n v="3593.87"/>
  </r>
  <r>
    <s v="Australia &amp; Oceania"/>
    <s v="APAC"/>
    <s v="Australia"/>
    <s v="Cereal"/>
    <s v="XYZ Food"/>
    <n v="665100367"/>
    <d v="2023-08-04T00:00:00"/>
    <x v="2"/>
    <n v="8"/>
    <n v="140922.07"/>
    <n v="67684.98"/>
    <n v="15034.37"/>
    <n v="575.80999999999995"/>
    <n v="4239.5200000000004"/>
    <n v="549.08000000000004"/>
    <n v="4406.29"/>
    <n v="2768.5"/>
    <n v="1106.9000000000001"/>
    <n v="96365.449999999983"/>
    <n v="44556.620000000024"/>
    <n v="21205.599999999999"/>
  </r>
  <r>
    <s v="Australia &amp; Oceania"/>
    <s v="APAC"/>
    <s v="Australia"/>
    <s v="Beverages"/>
    <s v="MNO Coffee"/>
    <n v="665100368"/>
    <d v="2023-09-04T00:00:00"/>
    <x v="2"/>
    <n v="9"/>
    <n v="485933.31"/>
    <n v="239370.9"/>
    <n v="49860.08"/>
    <n v="2100.84"/>
    <n v="16976.47"/>
    <n v="2209.54"/>
    <n v="17854.52"/>
    <n v="10207.43"/>
    <n v="3992.69"/>
    <n v="342572.47000000003"/>
    <n v="143360.83999999997"/>
    <n v="86380.47"/>
  </r>
  <r>
    <s v="Australia &amp; Oceania"/>
    <s v="APAC"/>
    <s v="Australia"/>
    <s v="Office Supplies"/>
    <s v="ABC Infra"/>
    <n v="665100369"/>
    <d v="2023-11-08T00:00:00"/>
    <x v="2"/>
    <n v="11"/>
    <n v="344425.56"/>
    <n v="118572.63"/>
    <n v="41392.07"/>
    <n v="1682.69"/>
    <n v="6515.73"/>
    <n v="1737.29"/>
    <n v="12112.71"/>
    <n v="8325.51"/>
    <n v="2159.56"/>
    <n v="192498.19000000003"/>
    <n v="151927.36999999997"/>
    <n v="99946.61"/>
  </r>
  <r>
    <s v="Australia &amp; Oceania"/>
    <s v="APAC"/>
    <s v="Australia"/>
    <s v="Beverages"/>
    <s v="MNO Coffee"/>
    <n v="665100368"/>
    <d v="2023-11-11T00:00:00"/>
    <x v="2"/>
    <n v="11"/>
    <n v="518059.18"/>
    <n v="324042.71000000002"/>
    <n v="63152"/>
    <n v="2537.4299999999998"/>
    <n v="20082.73"/>
    <n v="2766.34"/>
    <n v="21893.02"/>
    <n v="13241.34"/>
    <n v="5103.82"/>
    <n v="452819.39000000007"/>
    <n v="65239.789999999921"/>
    <n v="32404.84"/>
  </r>
  <r>
    <s v="Australia &amp; Oceania"/>
    <s v="APAC"/>
    <s v="Australia"/>
    <s v="Cereal"/>
    <s v="XYZ Food"/>
    <n v="665100370"/>
    <d v="2023-12-06T00:00:00"/>
    <x v="2"/>
    <n v="12"/>
    <n v="118176.13"/>
    <n v="71859.47"/>
    <n v="15145.93"/>
    <n v="593.12"/>
    <n v="4461.1099999999997"/>
    <n v="581.92999999999995"/>
    <n v="4445.42"/>
    <n v="2716.82"/>
    <n v="1198.3900000000001"/>
    <n v="101002.18999999999"/>
    <n v="17173.940000000017"/>
    <n v="9137.39"/>
  </r>
  <r>
    <s v="Australia &amp; Oceania"/>
    <s v="APAC"/>
    <s v="Australia"/>
    <s v="Clothes"/>
    <s v="PQR Fashion"/>
    <n v="665100371"/>
    <d v="2023-12-15T00:00:00"/>
    <x v="2"/>
    <n v="12"/>
    <n v="330336.55"/>
    <n v="68807.75"/>
    <n v="14352.4"/>
    <n v="575.17999999999995"/>
    <n v="4645.3100000000004"/>
    <n v="550.75"/>
    <n v="4628.49"/>
    <n v="2814.43"/>
    <n v="1102.3900000000001"/>
    <n v="97476.699999999983"/>
    <n v="232859.85"/>
    <n v="30420.17"/>
  </r>
  <r>
    <s v="Australia &amp; Oceania"/>
    <s v="APAC"/>
    <s v="Australia"/>
    <s v="Office Supplies"/>
    <s v="ABC Infra"/>
    <n v="665100372"/>
    <d v="2024-01-09T00:00:00"/>
    <x v="3"/>
    <n v="1"/>
    <n v="398930.83"/>
    <n v="170735.21"/>
    <n v="47493.31"/>
    <n v="6573.61"/>
    <n v="20592.400000000001"/>
    <n v="8241.09"/>
    <n v="21563.19"/>
    <n v="20711.75"/>
    <n v="11370.72"/>
    <n v="307281.27999999991"/>
    <n v="91649.550000000105"/>
    <n v="36842.639999999999"/>
  </r>
  <r>
    <s v="Australia &amp; Oceania"/>
    <s v="APAC"/>
    <s v="Australia"/>
    <s v="Cereal"/>
    <s v="ABC Infra"/>
    <n v="665100372"/>
    <d v="2024-01-09T00:00:00"/>
    <x v="3"/>
    <n v="1"/>
    <n v="412687.95"/>
    <n v="171851.6"/>
    <n v="44387.51"/>
    <n v="6341.79"/>
    <n v="22392.82"/>
    <n v="8462.17"/>
    <n v="21188.92"/>
    <n v="21472.37"/>
    <n v="11128.44"/>
    <n v="307225.62000000005"/>
    <n v="105462.32999999996"/>
    <n v="47615.22"/>
  </r>
  <r>
    <s v="Australia &amp; Oceania"/>
    <s v="APAC"/>
    <s v="Australia"/>
    <s v="Cereal"/>
    <s v="XYZ Food"/>
    <n v="665100373"/>
    <d v="2024-01-16T00:00:00"/>
    <x v="3"/>
    <n v="1"/>
    <n v="281560.67"/>
    <n v="193434.52"/>
    <n v="38687.18"/>
    <n v="3208.08"/>
    <n v="14418.75"/>
    <n v="1776.17"/>
    <n v="12584.35"/>
    <n v="3266.64"/>
    <n v="1204.45"/>
    <n v="268580.14"/>
    <n v="12980.52999999997"/>
    <n v="8303.94"/>
  </r>
  <r>
    <s v="Australia &amp; Oceania"/>
    <s v="APAC"/>
    <s v="Australia"/>
    <s v="Beverages"/>
    <s v="MNO Coffee"/>
    <n v="665100374"/>
    <d v="2024-01-23T00:00:00"/>
    <x v="3"/>
    <n v="1"/>
    <n v="480178.45"/>
    <n v="272342.98"/>
    <n v="55071.46"/>
    <n v="2316.13"/>
    <n v="17661.900000000001"/>
    <n v="2355.2199999999998"/>
    <n v="18790.36"/>
    <n v="12169.78"/>
    <n v="4416.63"/>
    <n v="385124.46"/>
    <n v="95053.989999999991"/>
    <n v="47795.06"/>
  </r>
  <r>
    <s v="Australia &amp; Oceania"/>
    <s v="APAC"/>
    <s v="Australia"/>
    <s v="Beverages"/>
    <s v="MNO Coffee"/>
    <n v="665100374"/>
    <d v="2024-01-23T00:00:00"/>
    <x v="3"/>
    <n v="1"/>
    <n v="522556.03"/>
    <n v="266510.15999999997"/>
    <n v="57058.34"/>
    <n v="2272.3200000000002"/>
    <n v="17663.580000000002"/>
    <n v="2268.7800000000002"/>
    <n v="17094.8"/>
    <n v="11397.62"/>
    <n v="4847.54"/>
    <n v="379113.14"/>
    <n v="143442.89000000001"/>
    <n v="112885.65"/>
  </r>
  <r>
    <s v="Australia &amp; Oceania"/>
    <s v="APAC"/>
    <s v="Australia"/>
    <s v="Office Supplies"/>
    <s v="ABC Infra"/>
    <n v="665100375"/>
    <d v="2024-03-05T00:00:00"/>
    <x v="3"/>
    <n v="3"/>
    <n v="204444.56"/>
    <n v="90290.14"/>
    <n v="46850.82"/>
    <n v="2896.53"/>
    <n v="15727.07"/>
    <n v="1757.36"/>
    <n v="11375.09"/>
    <n v="4305.22"/>
    <n v="5222.74"/>
    <n v="178424.96999999997"/>
    <n v="26019.590000000026"/>
    <n v="4395.07"/>
  </r>
  <r>
    <s v="Australia &amp; Oceania"/>
    <s v="APAC"/>
    <s v="Australia"/>
    <s v="Office Supplies"/>
    <s v="ABC Infra"/>
    <n v="665100375"/>
    <d v="2024-03-05T00:00:00"/>
    <x v="3"/>
    <n v="3"/>
    <n v="223478.08"/>
    <n v="97017.96"/>
    <n v="44117.79"/>
    <n v="3066.67"/>
    <n v="16936.189999999999"/>
    <n v="1793.28"/>
    <n v="12167.6"/>
    <n v="4011.33"/>
    <n v="4919.22"/>
    <n v="184030.04"/>
    <n v="39448.039999999979"/>
    <n v="4202.83"/>
  </r>
  <r>
    <s v="Australia &amp; Oceania"/>
    <s v="APAC"/>
    <s v="Australia"/>
    <s v="Cereal"/>
    <s v="XYZ Food"/>
    <n v="665100376"/>
    <d v="2024-04-02T00:00:00"/>
    <x v="3"/>
    <n v="4"/>
    <n v="129637.82"/>
    <n v="69832.7"/>
    <n v="15305.74"/>
    <n v="583.94000000000005"/>
    <n v="4954.3500000000004"/>
    <n v="634.11"/>
    <n v="5012.01"/>
    <n v="3138.62"/>
    <n v="1223.67"/>
    <n v="100685.14"/>
    <n v="28952.680000000008"/>
    <n v="14339.95"/>
  </r>
  <r>
    <s v="Australia &amp; Oceania"/>
    <s v="APAC"/>
    <s v="Australia"/>
    <s v="Beverages"/>
    <s v="MNO Coffee"/>
    <n v="665100377"/>
    <d v="2024-05-03T00:00:00"/>
    <x v="3"/>
    <n v="5"/>
    <n v="509246.56"/>
    <n v="281484.43"/>
    <n v="58558.45"/>
    <n v="2270.66"/>
    <n v="18505.13"/>
    <n v="2468.2399999999998"/>
    <n v="19075.060000000001"/>
    <n v="11650.09"/>
    <n v="4557.55"/>
    <n v="398569.61"/>
    <n v="110676.95000000001"/>
    <n v="39115.4"/>
  </r>
  <r>
    <s v="Australia &amp; Oceania"/>
    <s v="APAC"/>
    <s v="Australia"/>
    <s v="Office Supplies"/>
    <s v="ABC Infra"/>
    <n v="665100378"/>
    <d v="2024-07-07T00:00:00"/>
    <x v="3"/>
    <n v="7"/>
    <n v="199274.05"/>
    <n v="85466.49"/>
    <n v="48536.57"/>
    <n v="1839.85"/>
    <n v="19055.23"/>
    <n v="1742.11"/>
    <n v="7064.18"/>
    <n v="8978.89"/>
    <n v="2372.14"/>
    <n v="175055.46000000002"/>
    <n v="24218.589999999967"/>
    <n v="3743.3"/>
  </r>
  <r>
    <s v="Australia &amp; Oceania"/>
    <s v="APAC"/>
    <s v="Australia"/>
    <s v="Cereal"/>
    <s v="XYZ Food"/>
    <n v="665100379"/>
    <d v="2024-08-04T00:00:00"/>
    <x v="3"/>
    <n v="8"/>
    <n v="152550.9"/>
    <n v="72032.03"/>
    <n v="16517.7"/>
    <n v="617.99"/>
    <n v="4606.97"/>
    <n v="585.36"/>
    <n v="4828.2700000000004"/>
    <n v="3005.75"/>
    <n v="1163.24"/>
    <n v="103357.31000000001"/>
    <n v="49193.589999999982"/>
    <n v="22684.38"/>
  </r>
  <r>
    <s v="Australia &amp; Oceania"/>
    <s v="APAC"/>
    <s v="Australia"/>
    <s v="Beverages"/>
    <s v="MNO Coffee"/>
    <n v="665100380"/>
    <d v="2024-09-04T00:00:00"/>
    <x v="3"/>
    <n v="9"/>
    <n v="519225.05"/>
    <n v="267190.98"/>
    <n v="53207.34"/>
    <n v="2337.27"/>
    <n v="18686.53"/>
    <n v="2392.56"/>
    <n v="19782.25"/>
    <n v="11249.38"/>
    <n v="4290.68"/>
    <n v="379136.99"/>
    <n v="140088.06"/>
    <n v="89853.74"/>
  </r>
  <r>
    <s v="Australia &amp; Oceania"/>
    <s v="APAC"/>
    <s v="Australia"/>
    <s v="Office Supplies"/>
    <s v="ABC Infra"/>
    <n v="665100381"/>
    <d v="2024-11-08T00:00:00"/>
    <x v="3"/>
    <n v="11"/>
    <n v="374480.9"/>
    <n v="125641.42"/>
    <n v="45963.78"/>
    <n v="1768.01"/>
    <n v="6853.49"/>
    <n v="1900.54"/>
    <n v="12740.62"/>
    <n v="9219.7000000000007"/>
    <n v="2413.17"/>
    <n v="206500.73000000004"/>
    <n v="167980.16999999998"/>
    <n v="106606.42"/>
  </r>
  <r>
    <s v="Australia &amp; Oceania"/>
    <s v="APAC"/>
    <s v="Australia"/>
    <s v="Beverages"/>
    <s v="MNO Coffee"/>
    <n v="665100380"/>
    <d v="2024-11-11T00:00:00"/>
    <x v="3"/>
    <n v="11"/>
    <n v="571771.15"/>
    <n v="339078.49"/>
    <n v="67186.070000000007"/>
    <n v="2850.68"/>
    <n v="21621.39"/>
    <n v="3068.13"/>
    <n v="24242.9"/>
    <n v="14475.32"/>
    <n v="5372.44"/>
    <n v="477895.42000000004"/>
    <n v="93875.729999999981"/>
    <n v="36062.58"/>
  </r>
  <r>
    <s v="Australia &amp; Oceania"/>
    <s v="APAC"/>
    <s v="Australia"/>
    <s v="Cereal"/>
    <s v="XYZ Food"/>
    <n v="665100382"/>
    <d v="2024-12-06T00:00:00"/>
    <x v="3"/>
    <n v="12"/>
    <n v="125815.99"/>
    <n v="79151.509999999995"/>
    <n v="16149.77"/>
    <n v="665.16"/>
    <n v="4695.25"/>
    <n v="629.29999999999995"/>
    <n v="4633.53"/>
    <n v="2904.53"/>
    <n v="1303.21"/>
    <n v="110132.26000000001"/>
    <n v="15683.729999999996"/>
    <n v="9775.7999999999993"/>
  </r>
  <r>
    <s v="Australia &amp; Oceania"/>
    <s v="APAC"/>
    <s v="Australia"/>
    <s v="Clothes"/>
    <s v="PQR Fashion"/>
    <n v="665100383"/>
    <d v="2024-12-15T00:00:00"/>
    <x v="3"/>
    <n v="12"/>
    <n v="357464.94"/>
    <n v="76359.600000000006"/>
    <n v="15907.66"/>
    <n v="599.1"/>
    <n v="4888.8"/>
    <n v="600.20000000000005"/>
    <n v="5119.2"/>
    <n v="3116.47"/>
    <n v="1228.28"/>
    <n v="107819.31000000001"/>
    <n v="249645.63"/>
    <n v="33128"/>
  </r>
  <r>
    <s v="Australia &amp; Oceania"/>
    <s v="APAC"/>
    <s v="Australia"/>
    <s v="Office Supplies"/>
    <s v="ABC Infra"/>
    <n v="665100384"/>
    <d v="2025-01-09T00:00:00"/>
    <x v="4"/>
    <n v="1"/>
    <n v="451864.33"/>
    <n v="190587.66"/>
    <n v="52969.38"/>
    <n v="7145.15"/>
    <n v="23209.25"/>
    <n v="8942.34"/>
    <n v="23218.16"/>
    <n v="23286.639999999999"/>
    <n v="11965.3"/>
    <n v="341323.88"/>
    <n v="110540.45000000001"/>
    <n v="41691.93"/>
  </r>
  <r>
    <s v="Australia &amp; Oceania"/>
    <s v="APAC"/>
    <s v="Australia"/>
    <s v="Cereal"/>
    <s v="ABC Infra"/>
    <n v="665100384"/>
    <d v="2025-01-09T00:00:00"/>
    <x v="4"/>
    <n v="1"/>
    <n v="433494.64"/>
    <n v="190130.2"/>
    <n v="48292.09"/>
    <n v="6673.17"/>
    <n v="24069.31"/>
    <n v="9192.49"/>
    <n v="22356.83"/>
    <n v="22699.66"/>
    <n v="12425.27"/>
    <n v="335839.02"/>
    <n v="97655.62"/>
    <n v="50011.11"/>
  </r>
  <r>
    <s v="Australia &amp; Oceania"/>
    <s v="APAC"/>
    <s v="Australia"/>
    <s v="Cereal"/>
    <s v="XYZ Food"/>
    <n v="665100385"/>
    <d v="2025-01-16T00:00:00"/>
    <x v="4"/>
    <n v="1"/>
    <n v="318475.45"/>
    <n v="202963.15"/>
    <n v="42958.65"/>
    <n v="3529.66"/>
    <n v="15430.87"/>
    <n v="1877.5"/>
    <n v="13469.08"/>
    <n v="3485.7"/>
    <n v="1347.78"/>
    <n v="285062.39000000007"/>
    <n v="33413.059999999939"/>
    <n v="8903.26"/>
  </r>
  <r>
    <s v="Australia &amp; Oceania"/>
    <s v="APAC"/>
    <s v="Australia"/>
    <s v="Beverages"/>
    <s v="MNO Coffee"/>
    <n v="665100386"/>
    <d v="2025-01-23T00:00:00"/>
    <x v="4"/>
    <n v="1"/>
    <n v="508340.51"/>
    <n v="308433.19"/>
    <n v="59177.24"/>
    <n v="2514.66"/>
    <n v="19247.03"/>
    <n v="2550.4899999999998"/>
    <n v="20430.189999999999"/>
    <n v="13501.66"/>
    <n v="4722.97"/>
    <n v="430577.42999999993"/>
    <n v="77763.080000000075"/>
    <n v="52067.519999999997"/>
  </r>
  <r>
    <s v="Australia &amp; Oceania"/>
    <s v="APAC"/>
    <s v="Australia"/>
    <s v="Beverages"/>
    <s v="MNO Coffee"/>
    <n v="665100386"/>
    <d v="2025-01-23T00:00:00"/>
    <x v="4"/>
    <n v="1"/>
    <n v="583933.14"/>
    <n v="290720.24"/>
    <n v="62647.27"/>
    <n v="2474.5500000000002"/>
    <n v="19368.88"/>
    <n v="2437.36"/>
    <n v="18867.43"/>
    <n v="12767.18"/>
    <n v="5391.13"/>
    <n v="414674.04"/>
    <n v="169259.10000000003"/>
    <n v="119052.71"/>
  </r>
  <r>
    <s v="Australia &amp; Oceania"/>
    <s v="APAC"/>
    <s v="Australia"/>
    <s v="Office Supplies"/>
    <s v="ABC Infra"/>
    <n v="665100387"/>
    <d v="2025-03-05T00:00:00"/>
    <x v="4"/>
    <n v="3"/>
    <n v="220579"/>
    <n v="97752.09"/>
    <n v="50067.14"/>
    <n v="3081.98"/>
    <n v="17301.599999999999"/>
    <n v="1940.32"/>
    <n v="12455.52"/>
    <n v="4813.88"/>
    <n v="5521.74"/>
    <n v="192934.27"/>
    <n v="27644.73000000001"/>
    <n v="4915.22"/>
  </r>
  <r>
    <s v="Australia &amp; Oceania"/>
    <s v="APAC"/>
    <s v="Australia"/>
    <s v="Office Supplies"/>
    <s v="ABC Infra"/>
    <n v="665100387"/>
    <d v="2025-03-05T00:00:00"/>
    <x v="4"/>
    <n v="3"/>
    <n v="251316.42"/>
    <n v="105347.92"/>
    <n v="47433.94"/>
    <n v="3282.47"/>
    <n v="18440.95"/>
    <n v="1996.33"/>
    <n v="13348.93"/>
    <n v="4326.05"/>
    <n v="5571.85"/>
    <n v="199748.43999999997"/>
    <n v="51567.98000000004"/>
    <n v="4485.21"/>
  </r>
  <r>
    <s v="Australia &amp; Oceania"/>
    <s v="APAC"/>
    <s v="Australia"/>
    <s v="Cereal"/>
    <s v="XYZ Food"/>
    <n v="665100388"/>
    <d v="2025-04-02T00:00:00"/>
    <x v="4"/>
    <n v="4"/>
    <n v="139051.04999999999"/>
    <n v="73397.279999999999"/>
    <n v="16356.19"/>
    <n v="618.19000000000005"/>
    <n v="5519.41"/>
    <n v="707.7"/>
    <n v="5660.17"/>
    <n v="3302.8"/>
    <n v="1302.23"/>
    <n v="106863.97"/>
    <n v="32187.079999999987"/>
    <n v="15852.66"/>
  </r>
  <r>
    <s v="Australia &amp; Oceania"/>
    <s v="APAC"/>
    <s v="Australia"/>
    <s v="Beverages"/>
    <s v="MNO Coffee"/>
    <n v="665100389"/>
    <d v="2025-05-03T00:00:00"/>
    <x v="4"/>
    <n v="5"/>
    <n v="535935.85"/>
    <n v="301283.15999999997"/>
    <n v="62407.79"/>
    <n v="2423.36"/>
    <n v="19647.75"/>
    <n v="2692.11"/>
    <n v="21376.28"/>
    <n v="12932.93"/>
    <n v="4899.0600000000004"/>
    <n v="427662.43999999994"/>
    <n v="108273.41000000003"/>
    <n v="43073.86"/>
  </r>
  <r>
    <s v="Australia &amp; Oceania"/>
    <s v="APAC"/>
    <s v="Australia"/>
    <s v="Office Supplies"/>
    <s v="ABC Infra"/>
    <n v="665100390"/>
    <d v="2025-07-07T00:00:00"/>
    <x v="4"/>
    <n v="7"/>
    <n v="222594.97"/>
    <n v="89955.520000000004"/>
    <n v="52270.49"/>
    <n v="1960.59"/>
    <n v="20736.509999999998"/>
    <n v="1906.83"/>
    <n v="7787.12"/>
    <n v="10015.75"/>
    <n v="2661.75"/>
    <n v="187294.56"/>
    <n v="35300.410000000003"/>
    <n v="3992.6"/>
  </r>
  <r>
    <s v="Australia &amp; Oceania"/>
    <s v="APAC"/>
    <s v="Australia"/>
    <s v="Cereal"/>
    <s v="XYZ Food"/>
    <n v="665100391"/>
    <d v="2025-08-04T00:00:00"/>
    <x v="4"/>
    <n v="8"/>
    <n v="171819.85"/>
    <n v="80236.3"/>
    <n v="18206.8"/>
    <n v="681.33"/>
    <n v="4954.5"/>
    <n v="619.23"/>
    <n v="5123.25"/>
    <n v="3307.73"/>
    <n v="1261.45"/>
    <n v="114390.59"/>
    <n v="57429.260000000009"/>
    <n v="23878.77"/>
  </r>
  <r>
    <s v="Australia &amp; Oceania"/>
    <s v="APAC"/>
    <s v="Australia"/>
    <s v="Beverages"/>
    <s v="MNO Coffee"/>
    <n v="665100392"/>
    <d v="2025-09-04T00:00:00"/>
    <x v="4"/>
    <n v="9"/>
    <n v="576916.86"/>
    <n v="287829.5"/>
    <n v="59130.400000000001"/>
    <n v="2630.13"/>
    <n v="20870.099999999999"/>
    <n v="2637.07"/>
    <n v="21475.65"/>
    <n v="12109.99"/>
    <n v="4707.0200000000004"/>
    <n v="411389.86000000004"/>
    <n v="165526.99999999994"/>
    <n v="97898.18"/>
  </r>
  <r>
    <s v="Australia &amp; Oceania"/>
    <s v="APAC"/>
    <s v="Australia"/>
    <s v="Office Supplies"/>
    <s v="ABC Infra"/>
    <n v="665100393"/>
    <d v="2025-11-08T00:00:00"/>
    <x v="4"/>
    <n v="11"/>
    <n v="413092.23"/>
    <n v="136206.57"/>
    <n v="49107.11"/>
    <n v="1939.17"/>
    <n v="7647.77"/>
    <n v="2040.6"/>
    <n v="14296.22"/>
    <n v="9885.4"/>
    <n v="2691.78"/>
    <n v="223814.62"/>
    <n v="189277.61"/>
    <n v="112262.62"/>
  </r>
  <r>
    <s v="Australia &amp; Oceania"/>
    <s v="APAC"/>
    <s v="Australia"/>
    <s v="Beverages"/>
    <s v="MNO Coffee"/>
    <n v="665100392"/>
    <d v="2025-11-11T00:00:00"/>
    <x v="4"/>
    <n v="11"/>
    <n v="603232.54"/>
    <n v="362411.89"/>
    <n v="76173.320000000007"/>
    <n v="3113.9"/>
    <n v="23377.42"/>
    <n v="3227.03"/>
    <n v="25706.44"/>
    <n v="16146.16"/>
    <n v="5724.19"/>
    <n v="515880.35000000003"/>
    <n v="87352.19"/>
    <n v="38286.480000000003"/>
  </r>
  <r>
    <s v="Australia &amp; Oceania"/>
    <s v="APAC"/>
    <s v="Australia"/>
    <s v="Cereal"/>
    <s v="XYZ Food"/>
    <n v="665100394"/>
    <d v="2025-12-06T00:00:00"/>
    <x v="4"/>
    <n v="12"/>
    <n v="137112.42000000001"/>
    <n v="86857.74"/>
    <n v="17735.919999999998"/>
    <n v="699.34"/>
    <n v="5006.8500000000004"/>
    <n v="665"/>
    <n v="5114.3100000000004"/>
    <n v="3241.82"/>
    <n v="1401.77"/>
    <n v="120722.75000000001"/>
    <n v="16389.669999999998"/>
    <n v="10676.84"/>
  </r>
  <r>
    <s v="Australia &amp; Oceania"/>
    <s v="APAC"/>
    <s v="Australia"/>
    <s v="Clothes"/>
    <s v="PQR Fashion"/>
    <n v="665100395"/>
    <d v="2025-12-15T00:00:00"/>
    <x v="4"/>
    <n v="12"/>
    <n v="401478.11"/>
    <n v="81373.66"/>
    <n v="17024.98"/>
    <n v="658.01"/>
    <n v="5515.06"/>
    <n v="645.54999999999995"/>
    <n v="5534.51"/>
    <n v="3371.36"/>
    <n v="1373.79"/>
    <n v="115496.91999999998"/>
    <n v="285981.19"/>
    <n v="36059.73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01335-50F8-495B-B2DF-DC739DC8F32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9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Total Revenue" fld="9" baseField="0" baseItem="0"/>
    <dataField name="Sum of Raw Material" fld="10" baseField="0" baseItem="0"/>
    <dataField name="Sum of Direct Labor" fld="11" baseField="0" baseItem="0"/>
    <dataField name="Sum of Freight" fld="12" baseField="0" baseItem="0"/>
    <dataField name="Sum of Storage" fld="13" baseField="0" baseItem="0"/>
    <dataField name="Sum of Packaging" fld="14" baseField="0" baseItem="0"/>
    <dataField name="Sum of Indirect Labor" fld="15" baseField="0" baseItem="0"/>
    <dataField name="Sum of Rent &amp; Utility" fld="16" baseField="0" baseItem="0"/>
    <dataField name="Sum of Overhead" fld="17" baseField="0" baseItem="0"/>
    <dataField name="Sum of SG&amp;A" fld="20" baseField="0" baseItem="0"/>
    <dataField name="Sum of COGS" fld="18" baseField="0" baseItem="0"/>
    <dataField name="Sum of Gross Profit" fld="19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0E7-1712-4EC0-8CC0-311DF0BE4F43}">
  <dimension ref="A3:M9"/>
  <sheetViews>
    <sheetView topLeftCell="E1"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9.6640625" bestFit="1" customWidth="1"/>
    <col min="3" max="3" width="18.6640625" bestFit="1" customWidth="1"/>
    <col min="4" max="4" width="17.6640625" bestFit="1" customWidth="1"/>
    <col min="5" max="5" width="13.33203125" bestFit="1" customWidth="1"/>
    <col min="6" max="6" width="14" bestFit="1" customWidth="1"/>
    <col min="7" max="7" width="16.109375" bestFit="1" customWidth="1"/>
    <col min="8" max="8" width="19.33203125" bestFit="1" customWidth="1"/>
    <col min="9" max="9" width="18.88671875" bestFit="1" customWidth="1"/>
    <col min="10" max="10" width="15.6640625" bestFit="1" customWidth="1"/>
    <col min="11" max="11" width="12.5546875" bestFit="1" customWidth="1"/>
    <col min="12" max="12" width="14.33203125" bestFit="1" customWidth="1"/>
    <col min="13" max="13" width="17.33203125" bestFit="1" customWidth="1"/>
  </cols>
  <sheetData>
    <row r="3" spans="1:13" x14ac:dyDescent="0.3">
      <c r="A3" s="2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">
      <c r="A4" s="3">
        <v>2021</v>
      </c>
      <c r="B4" s="4">
        <v>4373394.54</v>
      </c>
      <c r="C4" s="4">
        <v>2160155.44</v>
      </c>
      <c r="D4" s="4">
        <v>545032.37999999989</v>
      </c>
      <c r="E4" s="4">
        <v>33001.299999999996</v>
      </c>
      <c r="F4" s="4">
        <v>188010.36000000002</v>
      </c>
      <c r="G4" s="4">
        <v>32001.3</v>
      </c>
      <c r="H4" s="4">
        <v>175010.36</v>
      </c>
      <c r="I4" s="4">
        <v>117006.46</v>
      </c>
      <c r="J4" s="4">
        <v>54002.6</v>
      </c>
      <c r="K4" s="4">
        <v>499592.57999999996</v>
      </c>
      <c r="L4" s="4">
        <v>3304220.2</v>
      </c>
      <c r="M4" s="4">
        <v>1069174.3399999999</v>
      </c>
    </row>
    <row r="5" spans="1:13" x14ac:dyDescent="0.3">
      <c r="A5" s="3">
        <v>2022</v>
      </c>
      <c r="B5" s="4">
        <v>4712054.51</v>
      </c>
      <c r="C5" s="4">
        <v>2290157.6799999997</v>
      </c>
      <c r="D5" s="4">
        <v>582952.9</v>
      </c>
      <c r="E5" s="4">
        <v>34932.950000000004</v>
      </c>
      <c r="F5" s="4">
        <v>199635.85000000003</v>
      </c>
      <c r="G5" s="4">
        <v>34678.759999999995</v>
      </c>
      <c r="H5" s="4">
        <v>187922.58999999997</v>
      </c>
      <c r="I5" s="4">
        <v>125402.58000000002</v>
      </c>
      <c r="J5" s="4">
        <v>58058.489999999991</v>
      </c>
      <c r="K5" s="4">
        <v>539492.55000000005</v>
      </c>
      <c r="L5" s="4">
        <v>3513741.8000000007</v>
      </c>
      <c r="M5" s="4">
        <v>1198312.71</v>
      </c>
    </row>
    <row r="6" spans="1:13" x14ac:dyDescent="0.3">
      <c r="A6" s="3">
        <v>2023</v>
      </c>
      <c r="B6" s="4">
        <v>5064268.84</v>
      </c>
      <c r="C6" s="4">
        <v>2452262.44</v>
      </c>
      <c r="D6" s="4">
        <v>621596.72</v>
      </c>
      <c r="E6" s="4">
        <v>37502.400000000009</v>
      </c>
      <c r="F6" s="4">
        <v>213795.84999999998</v>
      </c>
      <c r="G6" s="4">
        <v>37542.250000000007</v>
      </c>
      <c r="H6" s="4">
        <v>201611.47999999998</v>
      </c>
      <c r="I6" s="4">
        <v>133770.28000000003</v>
      </c>
      <c r="J6" s="4">
        <v>62334.75</v>
      </c>
      <c r="K6" s="4">
        <v>576180.92000000004</v>
      </c>
      <c r="L6" s="4">
        <v>3760416.1700000009</v>
      </c>
      <c r="M6" s="4">
        <v>1303852.67</v>
      </c>
    </row>
    <row r="7" spans="1:13" x14ac:dyDescent="0.3">
      <c r="A7" s="3">
        <v>2024</v>
      </c>
      <c r="B7" s="4">
        <v>5463303.9300000006</v>
      </c>
      <c r="C7" s="4">
        <v>2658420.2199999993</v>
      </c>
      <c r="D7" s="4">
        <v>670999.49000000011</v>
      </c>
      <c r="E7" s="4">
        <v>40207.79</v>
      </c>
      <c r="F7" s="4">
        <v>229259.84999999998</v>
      </c>
      <c r="G7" s="4">
        <v>40674.619999999995</v>
      </c>
      <c r="H7" s="4">
        <v>217262.33</v>
      </c>
      <c r="I7" s="4">
        <v>145073.46</v>
      </c>
      <c r="J7" s="4">
        <v>67034.12</v>
      </c>
      <c r="K7" s="4">
        <v>617349.98</v>
      </c>
      <c r="L7" s="4">
        <v>4068931.8800000004</v>
      </c>
      <c r="M7" s="4">
        <v>1394372.0499999998</v>
      </c>
    </row>
    <row r="8" spans="1:13" x14ac:dyDescent="0.3">
      <c r="A8" s="3">
        <v>2025</v>
      </c>
      <c r="B8" s="4">
        <v>5969237.370000001</v>
      </c>
      <c r="C8" s="4">
        <v>2885486.0700000003</v>
      </c>
      <c r="D8" s="4">
        <v>731958.71000000008</v>
      </c>
      <c r="E8" s="4">
        <v>43425.659999999996</v>
      </c>
      <c r="F8" s="4">
        <v>250343.26000000004</v>
      </c>
      <c r="G8" s="4">
        <v>44077.950000000004</v>
      </c>
      <c r="H8" s="4">
        <v>236220.09000000003</v>
      </c>
      <c r="I8" s="4">
        <v>159194.71</v>
      </c>
      <c r="J8" s="4">
        <v>72969.079999999987</v>
      </c>
      <c r="K8" s="4">
        <v>663108.69999999984</v>
      </c>
      <c r="L8" s="4">
        <v>4423675.53</v>
      </c>
      <c r="M8" s="4">
        <v>1545561.8399999999</v>
      </c>
    </row>
    <row r="9" spans="1:13" x14ac:dyDescent="0.3">
      <c r="A9" s="3" t="s">
        <v>13</v>
      </c>
      <c r="B9" s="4">
        <v>25582259.190000001</v>
      </c>
      <c r="C9" s="4">
        <v>12446481.849999998</v>
      </c>
      <c r="D9" s="4">
        <v>3152540.1999999997</v>
      </c>
      <c r="E9" s="4">
        <v>189070.1</v>
      </c>
      <c r="F9" s="4">
        <v>1081045.1700000002</v>
      </c>
      <c r="G9" s="4">
        <v>188974.88</v>
      </c>
      <c r="H9" s="4">
        <v>1018026.8499999999</v>
      </c>
      <c r="I9" s="4">
        <v>680447.49</v>
      </c>
      <c r="J9" s="4">
        <v>314399.03999999998</v>
      </c>
      <c r="K9" s="4">
        <v>2895724.73</v>
      </c>
      <c r="L9" s="4">
        <v>19070985.580000002</v>
      </c>
      <c r="M9" s="4">
        <v>6511273.6099999994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"/>
  <sheetViews>
    <sheetView tabSelected="1" topLeftCell="B1" workbookViewId="0">
      <selection activeCell="I37" sqref="I37"/>
    </sheetView>
  </sheetViews>
  <sheetFormatPr defaultRowHeight="14.4" x14ac:dyDescent="0.3"/>
  <cols>
    <col min="3" max="3" width="14.33203125" bestFit="1" customWidth="1"/>
    <col min="4" max="4" width="8.109375" bestFit="1" customWidth="1"/>
    <col min="5" max="5" width="10.6640625" bestFit="1" customWidth="1"/>
    <col min="6" max="7" width="11.88671875" bestFit="1" customWidth="1"/>
    <col min="8" max="8" width="10.88671875" bestFit="1" customWidth="1"/>
    <col min="9" max="9" width="25.33203125" customWidth="1"/>
    <col min="10" max="10" width="8.33203125" bestFit="1" customWidth="1"/>
    <col min="11" max="11" width="7.5546875" bestFit="1" customWidth="1"/>
    <col min="12" max="12" width="15.109375" bestFit="1" customWidth="1"/>
    <col min="13" max="13" width="14.33203125" bestFit="1" customWidth="1"/>
    <col min="14" max="14" width="13.44140625" bestFit="1" customWidth="1"/>
    <col min="15" max="15" width="11.33203125" bestFit="1" customWidth="1"/>
    <col min="16" max="16" width="12.33203125" bestFit="1" customWidth="1"/>
    <col min="17" max="17" width="12" bestFit="1" customWidth="1"/>
    <col min="18" max="19" width="14.6640625" bestFit="1" customWidth="1"/>
    <col min="20" max="20" width="12" bestFit="1" customWidth="1"/>
    <col min="21" max="21" width="13.88671875" bestFit="1" customWidth="1"/>
    <col min="22" max="22" width="13.33203125" bestFit="1" customWidth="1"/>
    <col min="23" max="23" width="12.33203125" bestFit="1" customWidth="1"/>
  </cols>
  <sheetData>
    <row r="1" spans="1:23" x14ac:dyDescent="0.3">
      <c r="L1" s="11">
        <f>SUBTOTAL(9,L3:L82)</f>
        <v>25582259.190000001</v>
      </c>
      <c r="M1" s="11">
        <f t="shared" ref="M1:W1" si="0">SUBTOTAL(9,M3:M82)</f>
        <v>12446481.85</v>
      </c>
      <c r="N1" s="11">
        <f t="shared" si="0"/>
        <v>3152540.1999999997</v>
      </c>
      <c r="O1" s="11">
        <f t="shared" si="0"/>
        <v>189070.09999999998</v>
      </c>
      <c r="P1" s="11">
        <f t="shared" si="0"/>
        <v>1081045.17</v>
      </c>
      <c r="Q1" s="11">
        <f t="shared" si="0"/>
        <v>188974.87999999992</v>
      </c>
      <c r="R1" s="11">
        <f t="shared" si="0"/>
        <v>1018026.8500000002</v>
      </c>
      <c r="S1" s="11">
        <f t="shared" si="0"/>
        <v>680447.49000000034</v>
      </c>
      <c r="T1" s="11">
        <f t="shared" si="0"/>
        <v>314399.04000000004</v>
      </c>
      <c r="U1" s="11">
        <f t="shared" si="0"/>
        <v>19070985.580000002</v>
      </c>
      <c r="V1" s="11">
        <f t="shared" si="0"/>
        <v>6511273.6100000022</v>
      </c>
      <c r="W1" s="11">
        <f t="shared" si="0"/>
        <v>2895724.73</v>
      </c>
    </row>
    <row r="2" spans="1:23" x14ac:dyDescent="0.3">
      <c r="A2" s="1"/>
      <c r="B2" s="1"/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8" t="s">
        <v>21</v>
      </c>
      <c r="K2" s="8" t="s">
        <v>22</v>
      </c>
      <c r="L2" s="9" t="s">
        <v>23</v>
      </c>
      <c r="M2" s="7" t="s">
        <v>24</v>
      </c>
      <c r="N2" s="7" t="s">
        <v>25</v>
      </c>
      <c r="O2" s="7" t="s">
        <v>26</v>
      </c>
      <c r="P2" s="7" t="s">
        <v>27</v>
      </c>
      <c r="Q2" s="7" t="s">
        <v>28</v>
      </c>
      <c r="R2" s="7" t="s">
        <v>29</v>
      </c>
      <c r="S2" s="7" t="s">
        <v>30</v>
      </c>
      <c r="T2" s="7" t="s">
        <v>31</v>
      </c>
      <c r="U2" s="9" t="s">
        <v>32</v>
      </c>
      <c r="V2" s="8" t="s">
        <v>33</v>
      </c>
      <c r="W2" s="9" t="s">
        <v>34</v>
      </c>
    </row>
    <row r="3" spans="1:23" x14ac:dyDescent="0.3"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>
        <v>158535134</v>
      </c>
      <c r="I3" s="6">
        <v>44205</v>
      </c>
      <c r="J3" s="5">
        <v>2021</v>
      </c>
      <c r="K3" s="5">
        <v>1</v>
      </c>
      <c r="L3" s="10">
        <v>330115.3</v>
      </c>
      <c r="M3" s="10">
        <v>137693.31</v>
      </c>
      <c r="N3" s="10">
        <v>37019.440000000002</v>
      </c>
      <c r="O3" s="10">
        <v>5480.78</v>
      </c>
      <c r="P3" s="10">
        <v>17846.22</v>
      </c>
      <c r="Q3" s="10">
        <v>6480.78</v>
      </c>
      <c r="R3" s="10">
        <v>17846.22</v>
      </c>
      <c r="S3" s="10">
        <v>17403.89</v>
      </c>
      <c r="T3" s="10">
        <v>8961.56</v>
      </c>
      <c r="U3" s="10">
        <f>SUM(M3:T3)</f>
        <v>248732.2</v>
      </c>
      <c r="V3" s="10">
        <f>L3-U3</f>
        <v>81383.099999999977</v>
      </c>
      <c r="W3" s="10">
        <v>30946.53</v>
      </c>
    </row>
    <row r="4" spans="1:23" x14ac:dyDescent="0.3">
      <c r="C4" s="5" t="s">
        <v>35</v>
      </c>
      <c r="D4" s="5" t="s">
        <v>36</v>
      </c>
      <c r="E4" s="5" t="s">
        <v>37</v>
      </c>
      <c r="F4" s="5" t="s">
        <v>40</v>
      </c>
      <c r="G4" s="5" t="s">
        <v>39</v>
      </c>
      <c r="H4" s="5">
        <v>158535134</v>
      </c>
      <c r="I4" s="6">
        <v>44205</v>
      </c>
      <c r="J4" s="5">
        <v>2021</v>
      </c>
      <c r="K4" s="5">
        <v>1</v>
      </c>
      <c r="L4" s="10">
        <v>330115.3</v>
      </c>
      <c r="M4" s="10">
        <v>137693.31</v>
      </c>
      <c r="N4" s="10">
        <v>37019.440000000002</v>
      </c>
      <c r="O4" s="10">
        <v>5480.78</v>
      </c>
      <c r="P4" s="10">
        <v>17846.22</v>
      </c>
      <c r="Q4" s="10">
        <v>6480.78</v>
      </c>
      <c r="R4" s="10">
        <v>17846.22</v>
      </c>
      <c r="S4" s="10">
        <v>17403.89</v>
      </c>
      <c r="T4" s="10">
        <v>8961.56</v>
      </c>
      <c r="U4" s="10">
        <f t="shared" ref="U4:U67" si="1">SUM(M4:T4)</f>
        <v>248732.2</v>
      </c>
      <c r="V4" s="10">
        <f t="shared" ref="V4:V67" si="2">L4-U4</f>
        <v>81383.099999999977</v>
      </c>
      <c r="W4" s="10">
        <v>40946.53</v>
      </c>
    </row>
    <row r="5" spans="1:23" x14ac:dyDescent="0.3">
      <c r="C5" s="5" t="s">
        <v>35</v>
      </c>
      <c r="D5" s="5" t="s">
        <v>36</v>
      </c>
      <c r="E5" s="5" t="s">
        <v>37</v>
      </c>
      <c r="F5" s="5" t="s">
        <v>40</v>
      </c>
      <c r="G5" s="5" t="s">
        <v>41</v>
      </c>
      <c r="H5" s="5">
        <v>450563752</v>
      </c>
      <c r="I5" s="6">
        <v>44212</v>
      </c>
      <c r="J5" s="5">
        <v>2021</v>
      </c>
      <c r="K5" s="5">
        <v>1</v>
      </c>
      <c r="L5" s="10">
        <v>232958.02</v>
      </c>
      <c r="M5" s="10">
        <v>159197.04</v>
      </c>
      <c r="N5" s="10">
        <v>32332.720000000001</v>
      </c>
      <c r="O5" s="10">
        <v>2493.31</v>
      </c>
      <c r="P5" s="10">
        <v>11946.47</v>
      </c>
      <c r="Q5" s="10">
        <v>1493.31</v>
      </c>
      <c r="R5" s="10">
        <v>9946.4699999999993</v>
      </c>
      <c r="S5" s="10">
        <v>2466.54</v>
      </c>
      <c r="T5" s="10">
        <v>986.62</v>
      </c>
      <c r="U5" s="10">
        <f t="shared" si="1"/>
        <v>220862.48</v>
      </c>
      <c r="V5" s="10">
        <f t="shared" si="2"/>
        <v>12095.539999999979</v>
      </c>
      <c r="W5" s="10">
        <v>6934.65</v>
      </c>
    </row>
    <row r="6" spans="1:23" x14ac:dyDescent="0.3">
      <c r="C6" s="5" t="s">
        <v>35</v>
      </c>
      <c r="D6" s="5" t="s">
        <v>36</v>
      </c>
      <c r="E6" s="5" t="s">
        <v>37</v>
      </c>
      <c r="F6" s="5" t="s">
        <v>42</v>
      </c>
      <c r="G6" s="5" t="s">
        <v>43</v>
      </c>
      <c r="H6" s="5">
        <v>240470397</v>
      </c>
      <c r="I6" s="6">
        <v>44219</v>
      </c>
      <c r="J6" s="5">
        <v>2021</v>
      </c>
      <c r="K6" s="5">
        <v>1</v>
      </c>
      <c r="L6" s="10">
        <v>406900.23</v>
      </c>
      <c r="M6" s="10">
        <v>221223.62</v>
      </c>
      <c r="N6" s="10">
        <v>46088.25</v>
      </c>
      <c r="O6" s="10">
        <v>1843.53</v>
      </c>
      <c r="P6" s="10">
        <v>14748.24</v>
      </c>
      <c r="Q6" s="10">
        <v>1843.53</v>
      </c>
      <c r="R6" s="10">
        <v>14748.24</v>
      </c>
      <c r="S6" s="10">
        <v>9217.65</v>
      </c>
      <c r="T6" s="10">
        <v>3687.06</v>
      </c>
      <c r="U6" s="10">
        <f t="shared" si="1"/>
        <v>313400.12000000005</v>
      </c>
      <c r="V6" s="10">
        <f t="shared" si="2"/>
        <v>93500.109999999928</v>
      </c>
      <c r="W6" s="10">
        <v>38120.74</v>
      </c>
    </row>
    <row r="7" spans="1:23" x14ac:dyDescent="0.3">
      <c r="C7" s="5" t="s">
        <v>35</v>
      </c>
      <c r="D7" s="5" t="s">
        <v>36</v>
      </c>
      <c r="E7" s="5" t="s">
        <v>37</v>
      </c>
      <c r="F7" s="5" t="s">
        <v>42</v>
      </c>
      <c r="G7" s="5" t="s">
        <v>43</v>
      </c>
      <c r="H7" s="5">
        <v>240470397</v>
      </c>
      <c r="I7" s="6">
        <v>44219</v>
      </c>
      <c r="J7" s="5">
        <v>2021</v>
      </c>
      <c r="K7" s="5">
        <v>1</v>
      </c>
      <c r="L7" s="10">
        <v>426900.23</v>
      </c>
      <c r="M7" s="10">
        <v>221223.62</v>
      </c>
      <c r="N7" s="10">
        <v>46088.25</v>
      </c>
      <c r="O7" s="10">
        <v>1843.53</v>
      </c>
      <c r="P7" s="10">
        <v>14748.24</v>
      </c>
      <c r="Q7" s="10">
        <v>1843.53</v>
      </c>
      <c r="R7" s="10">
        <v>14748.24</v>
      </c>
      <c r="S7" s="10">
        <v>9217.65</v>
      </c>
      <c r="T7" s="10">
        <v>3687.06</v>
      </c>
      <c r="U7" s="10">
        <f t="shared" si="1"/>
        <v>313400.12000000005</v>
      </c>
      <c r="V7" s="10">
        <f t="shared" si="2"/>
        <v>113500.10999999993</v>
      </c>
      <c r="W7" s="10">
        <v>88120.74</v>
      </c>
    </row>
    <row r="8" spans="1:23" x14ac:dyDescent="0.3"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>
        <v>665095811</v>
      </c>
      <c r="I8" s="6">
        <v>44260</v>
      </c>
      <c r="J8" s="5">
        <v>2021</v>
      </c>
      <c r="K8" s="5">
        <v>3</v>
      </c>
      <c r="L8" s="10">
        <v>158952.26999999999</v>
      </c>
      <c r="M8" s="10">
        <v>78082.399999999994</v>
      </c>
      <c r="N8" s="10">
        <v>37100.5</v>
      </c>
      <c r="O8" s="10">
        <v>2484.02</v>
      </c>
      <c r="P8" s="10">
        <v>12872.16</v>
      </c>
      <c r="Q8" s="10">
        <v>1484.02</v>
      </c>
      <c r="R8" s="10">
        <v>9872.16</v>
      </c>
      <c r="S8" s="10">
        <v>3420.1</v>
      </c>
      <c r="T8" s="10">
        <v>3968.04</v>
      </c>
      <c r="U8" s="10">
        <f t="shared" si="1"/>
        <v>149283.40000000002</v>
      </c>
      <c r="V8" s="10">
        <f t="shared" si="2"/>
        <v>9668.8699999999662</v>
      </c>
      <c r="W8" s="10">
        <v>3336.16</v>
      </c>
    </row>
    <row r="9" spans="1:23" x14ac:dyDescent="0.3"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>
        <v>665095811</v>
      </c>
      <c r="I9" s="6">
        <v>44260</v>
      </c>
      <c r="J9" s="5">
        <v>2021</v>
      </c>
      <c r="K9" s="5">
        <v>3</v>
      </c>
      <c r="L9" s="10">
        <v>178952.27</v>
      </c>
      <c r="M9" s="10">
        <v>78082.399999999994</v>
      </c>
      <c r="N9" s="10">
        <v>37100.5</v>
      </c>
      <c r="O9" s="10">
        <v>2484.02</v>
      </c>
      <c r="P9" s="10">
        <v>12872.16</v>
      </c>
      <c r="Q9" s="10">
        <v>1484.02</v>
      </c>
      <c r="R9" s="10">
        <v>9872.16</v>
      </c>
      <c r="S9" s="10">
        <v>3420.1</v>
      </c>
      <c r="T9" s="10">
        <v>3968.04</v>
      </c>
      <c r="U9" s="10">
        <f t="shared" si="1"/>
        <v>149283.40000000002</v>
      </c>
      <c r="V9" s="10">
        <f t="shared" si="2"/>
        <v>29668.869999999966</v>
      </c>
      <c r="W9" s="10">
        <v>3336.16</v>
      </c>
    </row>
    <row r="10" spans="1:23" x14ac:dyDescent="0.3">
      <c r="C10" s="5" t="s">
        <v>35</v>
      </c>
      <c r="D10" s="5" t="s">
        <v>36</v>
      </c>
      <c r="E10" s="5" t="s">
        <v>37</v>
      </c>
      <c r="F10" s="5" t="s">
        <v>40</v>
      </c>
      <c r="G10" s="5" t="s">
        <v>41</v>
      </c>
      <c r="H10" s="5">
        <v>665096007</v>
      </c>
      <c r="I10" s="6">
        <v>44288</v>
      </c>
      <c r="J10" s="5">
        <v>2021</v>
      </c>
      <c r="K10" s="5">
        <v>4</v>
      </c>
      <c r="L10" s="10">
        <v>104953.91</v>
      </c>
      <c r="M10" s="10">
        <v>59283.839999999997</v>
      </c>
      <c r="N10" s="10">
        <v>12350.8</v>
      </c>
      <c r="O10" s="10">
        <v>494.03</v>
      </c>
      <c r="P10" s="10">
        <v>3952.26</v>
      </c>
      <c r="Q10" s="10">
        <v>494.03</v>
      </c>
      <c r="R10" s="10">
        <v>3952.26</v>
      </c>
      <c r="S10" s="10">
        <v>2470.16</v>
      </c>
      <c r="T10" s="10">
        <v>988.06</v>
      </c>
      <c r="U10" s="10">
        <f t="shared" si="1"/>
        <v>83985.439999999988</v>
      </c>
      <c r="V10" s="10">
        <f t="shared" si="2"/>
        <v>20968.470000000016</v>
      </c>
      <c r="W10" s="10">
        <v>10935.02</v>
      </c>
    </row>
    <row r="11" spans="1:23" x14ac:dyDescent="0.3">
      <c r="C11" s="5" t="s">
        <v>35</v>
      </c>
      <c r="D11" s="5" t="s">
        <v>36</v>
      </c>
      <c r="E11" s="5" t="s">
        <v>37</v>
      </c>
      <c r="F11" s="5" t="s">
        <v>42</v>
      </c>
      <c r="G11" s="5" t="s">
        <v>43</v>
      </c>
      <c r="H11" s="5">
        <v>665096224</v>
      </c>
      <c r="I11" s="6">
        <v>44319</v>
      </c>
      <c r="J11" s="5">
        <v>2021</v>
      </c>
      <c r="K11" s="5">
        <v>5</v>
      </c>
      <c r="L11" s="10">
        <v>394836.26</v>
      </c>
      <c r="M11" s="10">
        <v>221247.18</v>
      </c>
      <c r="N11" s="10">
        <v>46093.16</v>
      </c>
      <c r="O11" s="10">
        <v>1843.73</v>
      </c>
      <c r="P11" s="10">
        <v>14749.81</v>
      </c>
      <c r="Q11" s="10">
        <v>1843.73</v>
      </c>
      <c r="R11" s="10">
        <v>14749.81</v>
      </c>
      <c r="S11" s="10">
        <v>9218.6299999999992</v>
      </c>
      <c r="T11" s="10">
        <v>3687.45</v>
      </c>
      <c r="U11" s="10">
        <f t="shared" si="1"/>
        <v>313433.49999999994</v>
      </c>
      <c r="V11" s="10">
        <f t="shared" si="2"/>
        <v>81402.760000000068</v>
      </c>
      <c r="W11" s="10">
        <v>30861.46</v>
      </c>
    </row>
    <row r="12" spans="1:23" x14ac:dyDescent="0.3"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>
        <v>665096679</v>
      </c>
      <c r="I12" s="6">
        <v>44384</v>
      </c>
      <c r="J12" s="5">
        <v>2021</v>
      </c>
      <c r="K12" s="5">
        <v>7</v>
      </c>
      <c r="L12" s="10">
        <v>153475.63</v>
      </c>
      <c r="M12" s="10">
        <v>68471.490000000005</v>
      </c>
      <c r="N12" s="10">
        <v>37181.56</v>
      </c>
      <c r="O12" s="10">
        <v>1487.26</v>
      </c>
      <c r="P12" s="10">
        <v>15898.1</v>
      </c>
      <c r="Q12" s="10">
        <v>1487.26</v>
      </c>
      <c r="R12" s="10">
        <v>5898.1</v>
      </c>
      <c r="S12" s="10">
        <v>7436.31</v>
      </c>
      <c r="T12" s="10">
        <v>1974.52</v>
      </c>
      <c r="U12" s="10">
        <f t="shared" si="1"/>
        <v>139834.6</v>
      </c>
      <c r="V12" s="10">
        <f t="shared" si="2"/>
        <v>13641.029999999999</v>
      </c>
      <c r="W12" s="10">
        <v>3219</v>
      </c>
    </row>
    <row r="13" spans="1:23" x14ac:dyDescent="0.3">
      <c r="C13" s="5" t="s">
        <v>35</v>
      </c>
      <c r="D13" s="5" t="s">
        <v>36</v>
      </c>
      <c r="E13" s="5" t="s">
        <v>37</v>
      </c>
      <c r="F13" s="5" t="s">
        <v>40</v>
      </c>
      <c r="G13" s="5" t="s">
        <v>41</v>
      </c>
      <c r="H13" s="5">
        <v>665096875</v>
      </c>
      <c r="I13" s="6">
        <v>44412</v>
      </c>
      <c r="J13" s="5">
        <v>2021</v>
      </c>
      <c r="K13" s="5">
        <v>8</v>
      </c>
      <c r="L13" s="10">
        <v>118394.38</v>
      </c>
      <c r="M13" s="10">
        <v>59370.64</v>
      </c>
      <c r="N13" s="10">
        <v>12368.88</v>
      </c>
      <c r="O13" s="10">
        <v>494.76</v>
      </c>
      <c r="P13" s="10">
        <v>3958.04</v>
      </c>
      <c r="Q13" s="10">
        <v>494.76</v>
      </c>
      <c r="R13" s="10">
        <v>3958.04</v>
      </c>
      <c r="S13" s="10">
        <v>2473.7800000000002</v>
      </c>
      <c r="T13" s="10">
        <v>989.51</v>
      </c>
      <c r="U13" s="10">
        <f t="shared" si="1"/>
        <v>84108.409999999974</v>
      </c>
      <c r="V13" s="10">
        <f t="shared" si="2"/>
        <v>34285.97000000003</v>
      </c>
      <c r="W13" s="10">
        <v>18602.8</v>
      </c>
    </row>
    <row r="14" spans="1:23" x14ac:dyDescent="0.3">
      <c r="C14" s="5" t="s">
        <v>35</v>
      </c>
      <c r="D14" s="5" t="s">
        <v>36</v>
      </c>
      <c r="E14" s="5" t="s">
        <v>37</v>
      </c>
      <c r="F14" s="5" t="s">
        <v>42</v>
      </c>
      <c r="G14" s="5" t="s">
        <v>43</v>
      </c>
      <c r="H14" s="5">
        <v>665097092</v>
      </c>
      <c r="I14" s="6">
        <v>44443</v>
      </c>
      <c r="J14" s="5">
        <v>2021</v>
      </c>
      <c r="K14" s="5">
        <v>9</v>
      </c>
      <c r="L14" s="10">
        <v>416223.21</v>
      </c>
      <c r="M14" s="10">
        <v>221270.74</v>
      </c>
      <c r="N14" s="10">
        <v>46098.07</v>
      </c>
      <c r="O14" s="10">
        <v>1843.92</v>
      </c>
      <c r="P14" s="10">
        <v>14751.38</v>
      </c>
      <c r="Q14" s="10">
        <v>1843.92</v>
      </c>
      <c r="R14" s="10">
        <v>14751.38</v>
      </c>
      <c r="S14" s="10">
        <v>9219.61</v>
      </c>
      <c r="T14" s="10">
        <v>3687.85</v>
      </c>
      <c r="U14" s="10">
        <f t="shared" si="1"/>
        <v>313466.86999999994</v>
      </c>
      <c r="V14" s="10">
        <f t="shared" si="2"/>
        <v>102756.34000000008</v>
      </c>
      <c r="W14" s="10">
        <v>75600.84</v>
      </c>
    </row>
    <row r="15" spans="1:23" x14ac:dyDescent="0.3"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>
        <v>665097547</v>
      </c>
      <c r="I15" s="6">
        <v>44508</v>
      </c>
      <c r="J15" s="5">
        <v>2021</v>
      </c>
      <c r="K15" s="5">
        <v>11</v>
      </c>
      <c r="L15" s="10">
        <v>300396.74</v>
      </c>
      <c r="M15" s="10">
        <v>108860.58</v>
      </c>
      <c r="N15" s="10">
        <v>37262.620000000003</v>
      </c>
      <c r="O15" s="10">
        <v>1490.5</v>
      </c>
      <c r="P15" s="10">
        <v>5924.04</v>
      </c>
      <c r="Q15" s="10">
        <v>1490.5</v>
      </c>
      <c r="R15" s="10">
        <v>10924.04</v>
      </c>
      <c r="S15" s="10">
        <v>7452.52</v>
      </c>
      <c r="T15" s="10">
        <v>1981.01</v>
      </c>
      <c r="U15" s="10">
        <f t="shared" si="1"/>
        <v>175385.81000000003</v>
      </c>
      <c r="V15" s="10">
        <f t="shared" si="2"/>
        <v>125010.92999999996</v>
      </c>
      <c r="W15" s="10">
        <v>85913.85</v>
      </c>
    </row>
    <row r="16" spans="1:23" x14ac:dyDescent="0.3">
      <c r="C16" s="5" t="s">
        <v>35</v>
      </c>
      <c r="D16" s="5" t="s">
        <v>36</v>
      </c>
      <c r="E16" s="5" t="s">
        <v>37</v>
      </c>
      <c r="F16" s="5" t="s">
        <v>42</v>
      </c>
      <c r="G16" s="5" t="s">
        <v>43</v>
      </c>
      <c r="H16" s="5">
        <v>665097092</v>
      </c>
      <c r="I16" s="6">
        <v>44511</v>
      </c>
      <c r="J16" s="5">
        <v>2021</v>
      </c>
      <c r="K16" s="5">
        <v>11</v>
      </c>
      <c r="L16" s="10">
        <v>427500</v>
      </c>
      <c r="M16" s="10">
        <v>269280</v>
      </c>
      <c r="N16" s="10">
        <v>56100</v>
      </c>
      <c r="O16" s="10">
        <v>2244</v>
      </c>
      <c r="P16" s="10">
        <v>17952</v>
      </c>
      <c r="Q16" s="10">
        <v>2244</v>
      </c>
      <c r="R16" s="10">
        <v>17952</v>
      </c>
      <c r="S16" s="10">
        <v>11220</v>
      </c>
      <c r="T16" s="10">
        <v>4488</v>
      </c>
      <c r="U16" s="10">
        <f t="shared" si="1"/>
        <v>381480</v>
      </c>
      <c r="V16" s="10">
        <f t="shared" si="2"/>
        <v>46020</v>
      </c>
      <c r="W16" s="10">
        <v>28923.87</v>
      </c>
    </row>
    <row r="17" spans="3:23" x14ac:dyDescent="0.3">
      <c r="C17" s="5" t="s">
        <v>35</v>
      </c>
      <c r="D17" s="5" t="s">
        <v>36</v>
      </c>
      <c r="E17" s="5" t="s">
        <v>37</v>
      </c>
      <c r="F17" s="5" t="s">
        <v>40</v>
      </c>
      <c r="G17" s="5" t="s">
        <v>41</v>
      </c>
      <c r="H17" s="5">
        <v>665097743</v>
      </c>
      <c r="I17" s="6">
        <v>44536</v>
      </c>
      <c r="J17" s="5">
        <v>2021</v>
      </c>
      <c r="K17" s="5">
        <v>12</v>
      </c>
      <c r="L17" s="10">
        <v>102720.79</v>
      </c>
      <c r="M17" s="10">
        <v>59457.440000000002</v>
      </c>
      <c r="N17" s="10">
        <v>12386.97</v>
      </c>
      <c r="O17" s="10">
        <v>495.48</v>
      </c>
      <c r="P17" s="10">
        <v>3963.83</v>
      </c>
      <c r="Q17" s="10">
        <v>495.48</v>
      </c>
      <c r="R17" s="10">
        <v>3963.83</v>
      </c>
      <c r="S17" s="10">
        <v>2477.39</v>
      </c>
      <c r="T17" s="10">
        <v>990.96</v>
      </c>
      <c r="U17" s="10">
        <f t="shared" si="1"/>
        <v>84231.38</v>
      </c>
      <c r="V17" s="10">
        <f t="shared" si="2"/>
        <v>18489.409999999989</v>
      </c>
      <c r="W17" s="10">
        <v>8314.6200000000008</v>
      </c>
    </row>
    <row r="18" spans="3:23" x14ac:dyDescent="0.3">
      <c r="C18" s="5" t="s">
        <v>35</v>
      </c>
      <c r="D18" s="5" t="s">
        <v>36</v>
      </c>
      <c r="E18" s="5" t="s">
        <v>37</v>
      </c>
      <c r="F18" s="5" t="s">
        <v>44</v>
      </c>
      <c r="G18" s="5" t="s">
        <v>45</v>
      </c>
      <c r="H18" s="5">
        <v>665100347</v>
      </c>
      <c r="I18" s="6">
        <v>44545</v>
      </c>
      <c r="J18" s="5">
        <v>2021</v>
      </c>
      <c r="K18" s="5">
        <v>12</v>
      </c>
      <c r="L18" s="10">
        <v>290000</v>
      </c>
      <c r="M18" s="10">
        <v>59717.83</v>
      </c>
      <c r="N18" s="10">
        <v>12441.22</v>
      </c>
      <c r="O18" s="10">
        <v>497.65</v>
      </c>
      <c r="P18" s="10">
        <v>3981.19</v>
      </c>
      <c r="Q18" s="10">
        <v>497.65</v>
      </c>
      <c r="R18" s="10">
        <v>3981.19</v>
      </c>
      <c r="S18" s="10">
        <v>2488.2399999999998</v>
      </c>
      <c r="T18" s="10">
        <v>995.3</v>
      </c>
      <c r="U18" s="10">
        <f t="shared" si="1"/>
        <v>84600.27</v>
      </c>
      <c r="V18" s="10">
        <f t="shared" si="2"/>
        <v>205399.72999999998</v>
      </c>
      <c r="W18" s="10">
        <v>25479.61</v>
      </c>
    </row>
    <row r="19" spans="3:23" x14ac:dyDescent="0.3"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>
        <v>665100348</v>
      </c>
      <c r="I19" s="6">
        <v>44570</v>
      </c>
      <c r="J19" s="5">
        <v>2022</v>
      </c>
      <c r="K19" s="5">
        <v>1</v>
      </c>
      <c r="L19" s="10">
        <v>348067.93</v>
      </c>
      <c r="M19" s="10">
        <v>143836.28</v>
      </c>
      <c r="N19" s="10">
        <v>39666.21</v>
      </c>
      <c r="O19" s="10">
        <v>5817.3</v>
      </c>
      <c r="P19" s="10">
        <v>18606.78</v>
      </c>
      <c r="Q19" s="10">
        <v>7064.05</v>
      </c>
      <c r="R19" s="10">
        <v>18543</v>
      </c>
      <c r="S19" s="10">
        <v>18579.740000000002</v>
      </c>
      <c r="T19" s="10">
        <v>9765.9500000000007</v>
      </c>
      <c r="U19" s="10">
        <f t="shared" si="1"/>
        <v>261879.30999999997</v>
      </c>
      <c r="V19" s="10">
        <f t="shared" si="2"/>
        <v>86188.620000000024</v>
      </c>
      <c r="W19" s="10">
        <v>34199.050000000003</v>
      </c>
    </row>
    <row r="20" spans="3:23" x14ac:dyDescent="0.3">
      <c r="C20" s="5" t="s">
        <v>35</v>
      </c>
      <c r="D20" s="5" t="s">
        <v>36</v>
      </c>
      <c r="E20" s="5" t="s">
        <v>37</v>
      </c>
      <c r="F20" s="5" t="s">
        <v>40</v>
      </c>
      <c r="G20" s="5" t="s">
        <v>39</v>
      </c>
      <c r="H20" s="5">
        <v>665100348</v>
      </c>
      <c r="I20" s="6">
        <v>44570</v>
      </c>
      <c r="J20" s="5">
        <v>2022</v>
      </c>
      <c r="K20" s="5">
        <v>1</v>
      </c>
      <c r="L20" s="10">
        <v>365904.47</v>
      </c>
      <c r="M20" s="10">
        <v>142175.54999999999</v>
      </c>
      <c r="N20" s="10">
        <v>38538.559999999998</v>
      </c>
      <c r="O20" s="10">
        <v>5725.24</v>
      </c>
      <c r="P20" s="10">
        <v>19460.060000000001</v>
      </c>
      <c r="Q20" s="10">
        <v>7093.51</v>
      </c>
      <c r="R20" s="10">
        <v>19191.04</v>
      </c>
      <c r="S20" s="10">
        <v>18633.259999999998</v>
      </c>
      <c r="T20" s="10">
        <v>9785.43</v>
      </c>
      <c r="U20" s="10">
        <f t="shared" si="1"/>
        <v>260602.65</v>
      </c>
      <c r="V20" s="10">
        <f t="shared" si="2"/>
        <v>105301.81999999998</v>
      </c>
      <c r="W20" s="10">
        <v>43174.87</v>
      </c>
    </row>
    <row r="21" spans="3:23" x14ac:dyDescent="0.3">
      <c r="C21" s="5" t="s">
        <v>35</v>
      </c>
      <c r="D21" s="5" t="s">
        <v>36</v>
      </c>
      <c r="E21" s="5" t="s">
        <v>37</v>
      </c>
      <c r="F21" s="5" t="s">
        <v>40</v>
      </c>
      <c r="G21" s="5" t="s">
        <v>41</v>
      </c>
      <c r="H21" s="5">
        <v>665100349</v>
      </c>
      <c r="I21" s="6">
        <v>44577</v>
      </c>
      <c r="J21" s="5">
        <v>2022</v>
      </c>
      <c r="K21" s="5">
        <v>1</v>
      </c>
      <c r="L21" s="10">
        <v>252067.35</v>
      </c>
      <c r="M21" s="10">
        <v>164708.13</v>
      </c>
      <c r="N21" s="10">
        <v>34258.06</v>
      </c>
      <c r="O21" s="10">
        <v>2736.5</v>
      </c>
      <c r="P21" s="10">
        <v>12844.44</v>
      </c>
      <c r="Q21" s="10">
        <v>1552.8</v>
      </c>
      <c r="R21" s="10">
        <v>10918.41</v>
      </c>
      <c r="S21" s="10">
        <v>2692.16</v>
      </c>
      <c r="T21" s="10">
        <v>1047.8699999999999</v>
      </c>
      <c r="U21" s="10">
        <f t="shared" si="1"/>
        <v>230758.37</v>
      </c>
      <c r="V21" s="10">
        <f t="shared" si="2"/>
        <v>21308.98000000001</v>
      </c>
      <c r="W21" s="10">
        <v>7220.93</v>
      </c>
    </row>
    <row r="22" spans="3:23" x14ac:dyDescent="0.3">
      <c r="C22" s="5" t="s">
        <v>35</v>
      </c>
      <c r="D22" s="5" t="s">
        <v>36</v>
      </c>
      <c r="E22" s="5" t="s">
        <v>37</v>
      </c>
      <c r="F22" s="5" t="s">
        <v>42</v>
      </c>
      <c r="G22" s="5" t="s">
        <v>43</v>
      </c>
      <c r="H22" s="5">
        <v>665100350</v>
      </c>
      <c r="I22" s="6">
        <v>44584</v>
      </c>
      <c r="J22" s="5">
        <v>2022</v>
      </c>
      <c r="K22" s="5">
        <v>1</v>
      </c>
      <c r="L22" s="10">
        <v>435363.3</v>
      </c>
      <c r="M22" s="10">
        <v>228193.04</v>
      </c>
      <c r="N22" s="10">
        <v>51094.5</v>
      </c>
      <c r="O22" s="10">
        <v>1960.62</v>
      </c>
      <c r="P22" s="10">
        <v>15448.52</v>
      </c>
      <c r="Q22" s="10">
        <v>1977.84</v>
      </c>
      <c r="R22" s="10">
        <v>16223.57</v>
      </c>
      <c r="S22" s="10">
        <v>10137.02</v>
      </c>
      <c r="T22" s="10">
        <v>3853.98</v>
      </c>
      <c r="U22" s="10">
        <f t="shared" si="1"/>
        <v>328889.09000000008</v>
      </c>
      <c r="V22" s="10">
        <f t="shared" si="2"/>
        <v>106474.2099999999</v>
      </c>
      <c r="W22" s="10">
        <v>40666.699999999997</v>
      </c>
    </row>
    <row r="23" spans="3:23" x14ac:dyDescent="0.3">
      <c r="C23" s="5" t="s">
        <v>35</v>
      </c>
      <c r="D23" s="5" t="s">
        <v>36</v>
      </c>
      <c r="E23" s="5" t="s">
        <v>37</v>
      </c>
      <c r="F23" s="5" t="s">
        <v>42</v>
      </c>
      <c r="G23" s="5" t="s">
        <v>43</v>
      </c>
      <c r="H23" s="5">
        <v>665100350</v>
      </c>
      <c r="I23" s="6">
        <v>44584</v>
      </c>
      <c r="J23" s="5">
        <v>2022</v>
      </c>
      <c r="K23" s="5">
        <v>1</v>
      </c>
      <c r="L23" s="10">
        <v>469834.23999999999</v>
      </c>
      <c r="M23" s="10">
        <v>227714.92</v>
      </c>
      <c r="N23" s="10">
        <v>48629.11</v>
      </c>
      <c r="O23" s="10">
        <v>1953.34</v>
      </c>
      <c r="P23" s="10">
        <v>15922.88</v>
      </c>
      <c r="Q23" s="10">
        <v>2026.9</v>
      </c>
      <c r="R23" s="10">
        <v>15264.93</v>
      </c>
      <c r="S23" s="10">
        <v>9789.17</v>
      </c>
      <c r="T23" s="10">
        <v>4036</v>
      </c>
      <c r="U23" s="10">
        <f t="shared" si="1"/>
        <v>325337.25000000006</v>
      </c>
      <c r="V23" s="10">
        <f t="shared" si="2"/>
        <v>144496.98999999993</v>
      </c>
      <c r="W23" s="10">
        <v>95574.74</v>
      </c>
    </row>
    <row r="24" spans="3:23" x14ac:dyDescent="0.3"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>
        <v>665100351</v>
      </c>
      <c r="I24" s="6">
        <v>44625</v>
      </c>
      <c r="J24" s="5">
        <v>2022</v>
      </c>
      <c r="K24" s="5">
        <v>3</v>
      </c>
      <c r="L24" s="10">
        <v>168992.96</v>
      </c>
      <c r="M24" s="10">
        <v>80706.759999999995</v>
      </c>
      <c r="N24" s="10">
        <v>39828.86</v>
      </c>
      <c r="O24" s="10">
        <v>2559.4299999999998</v>
      </c>
      <c r="P24" s="10">
        <v>13697.43</v>
      </c>
      <c r="Q24" s="10">
        <v>1560.44</v>
      </c>
      <c r="R24" s="10">
        <v>10196.17</v>
      </c>
      <c r="S24" s="10">
        <v>3671.42</v>
      </c>
      <c r="T24" s="10">
        <v>4284.66</v>
      </c>
      <c r="U24" s="10">
        <f t="shared" si="1"/>
        <v>156505.17000000001</v>
      </c>
      <c r="V24" s="10">
        <f t="shared" si="2"/>
        <v>12487.789999999979</v>
      </c>
      <c r="W24" s="10">
        <v>3690.23</v>
      </c>
    </row>
    <row r="25" spans="3:23" x14ac:dyDescent="0.3"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  <c r="H25" s="5">
        <v>665100351</v>
      </c>
      <c r="I25" s="6">
        <v>44625</v>
      </c>
      <c r="J25" s="5">
        <v>2022</v>
      </c>
      <c r="K25" s="5">
        <v>3</v>
      </c>
      <c r="L25" s="10">
        <v>194484.22</v>
      </c>
      <c r="M25" s="10">
        <v>86804.24</v>
      </c>
      <c r="N25" s="10">
        <v>40358.04</v>
      </c>
      <c r="O25" s="10">
        <v>2654.42</v>
      </c>
      <c r="P25" s="10">
        <v>13602.23</v>
      </c>
      <c r="Q25" s="10">
        <v>1545.97</v>
      </c>
      <c r="R25" s="10">
        <v>10401.68</v>
      </c>
      <c r="S25" s="10">
        <v>3554.33</v>
      </c>
      <c r="T25" s="10">
        <v>4401.9399999999996</v>
      </c>
      <c r="U25" s="10">
        <f t="shared" si="1"/>
        <v>163322.84999999998</v>
      </c>
      <c r="V25" s="10">
        <f t="shared" si="2"/>
        <v>31161.370000000024</v>
      </c>
      <c r="W25" s="10">
        <v>3650.81</v>
      </c>
    </row>
    <row r="26" spans="3:23" x14ac:dyDescent="0.3">
      <c r="C26" s="5" t="s">
        <v>35</v>
      </c>
      <c r="D26" s="5" t="s">
        <v>36</v>
      </c>
      <c r="E26" s="5" t="s">
        <v>37</v>
      </c>
      <c r="F26" s="5" t="s">
        <v>40</v>
      </c>
      <c r="G26" s="5" t="s">
        <v>41</v>
      </c>
      <c r="H26" s="5">
        <v>665100352</v>
      </c>
      <c r="I26" s="6">
        <v>44653</v>
      </c>
      <c r="J26" s="5">
        <v>2022</v>
      </c>
      <c r="K26" s="5">
        <v>4</v>
      </c>
      <c r="L26" s="10">
        <v>108718.46</v>
      </c>
      <c r="M26" s="10">
        <v>64759.42</v>
      </c>
      <c r="N26" s="10">
        <v>12989.13</v>
      </c>
      <c r="O26" s="10">
        <v>532.75</v>
      </c>
      <c r="P26" s="10">
        <v>4130.6000000000004</v>
      </c>
      <c r="Q26" s="10">
        <v>545.19000000000005</v>
      </c>
      <c r="R26" s="10">
        <v>4174.17</v>
      </c>
      <c r="S26" s="10">
        <v>2716.39</v>
      </c>
      <c r="T26" s="10">
        <v>1017.42</v>
      </c>
      <c r="U26" s="10">
        <f t="shared" si="1"/>
        <v>90865.07</v>
      </c>
      <c r="V26" s="10">
        <f t="shared" si="2"/>
        <v>17853.39</v>
      </c>
      <c r="W26" s="10">
        <v>11931.19</v>
      </c>
    </row>
    <row r="27" spans="3:23" x14ac:dyDescent="0.3">
      <c r="C27" s="5" t="s">
        <v>35</v>
      </c>
      <c r="D27" s="5" t="s">
        <v>36</v>
      </c>
      <c r="E27" s="5" t="s">
        <v>37</v>
      </c>
      <c r="F27" s="5" t="s">
        <v>42</v>
      </c>
      <c r="G27" s="5" t="s">
        <v>43</v>
      </c>
      <c r="H27" s="5">
        <v>665100353</v>
      </c>
      <c r="I27" s="6">
        <v>44684</v>
      </c>
      <c r="J27" s="5">
        <v>2022</v>
      </c>
      <c r="K27" s="5">
        <v>5</v>
      </c>
      <c r="L27" s="10">
        <v>425933.1</v>
      </c>
      <c r="M27" s="10">
        <v>242040.53</v>
      </c>
      <c r="N27" s="10">
        <v>49045.42</v>
      </c>
      <c r="O27" s="10">
        <v>1906.43</v>
      </c>
      <c r="P27" s="10">
        <v>15872.99</v>
      </c>
      <c r="Q27" s="10">
        <v>2049.0100000000002</v>
      </c>
      <c r="R27" s="10">
        <v>16024.17</v>
      </c>
      <c r="S27" s="10">
        <v>10164.52</v>
      </c>
      <c r="T27" s="10">
        <v>3934.32</v>
      </c>
      <c r="U27" s="10">
        <f t="shared" si="1"/>
        <v>341037.39</v>
      </c>
      <c r="V27" s="10">
        <f t="shared" si="2"/>
        <v>84895.709999999963</v>
      </c>
      <c r="W27" s="10">
        <v>32745.84</v>
      </c>
    </row>
    <row r="28" spans="3:23" x14ac:dyDescent="0.3"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  <c r="H28" s="5">
        <v>665100354</v>
      </c>
      <c r="I28" s="6">
        <v>44749</v>
      </c>
      <c r="J28" s="5">
        <v>2022</v>
      </c>
      <c r="K28" s="5">
        <v>7</v>
      </c>
      <c r="L28" s="10">
        <v>162264.51</v>
      </c>
      <c r="M28" s="10">
        <v>73112.149999999994</v>
      </c>
      <c r="N28" s="10">
        <v>40962.81</v>
      </c>
      <c r="O28" s="10">
        <v>1575.97</v>
      </c>
      <c r="P28" s="10">
        <v>16532.18</v>
      </c>
      <c r="Q28" s="10">
        <v>1580.9</v>
      </c>
      <c r="R28" s="10">
        <v>6401.27</v>
      </c>
      <c r="S28" s="10">
        <v>7991.72</v>
      </c>
      <c r="T28" s="10">
        <v>2098.2199999999998</v>
      </c>
      <c r="U28" s="10">
        <f t="shared" si="1"/>
        <v>150255.21999999997</v>
      </c>
      <c r="V28" s="10">
        <f t="shared" si="2"/>
        <v>12009.290000000037</v>
      </c>
      <c r="W28" s="10">
        <v>3317.11</v>
      </c>
    </row>
    <row r="29" spans="3:23" x14ac:dyDescent="0.3">
      <c r="C29" s="5" t="s">
        <v>35</v>
      </c>
      <c r="D29" s="5" t="s">
        <v>36</v>
      </c>
      <c r="E29" s="5" t="s">
        <v>37</v>
      </c>
      <c r="F29" s="5" t="s">
        <v>40</v>
      </c>
      <c r="G29" s="5" t="s">
        <v>41</v>
      </c>
      <c r="H29" s="5">
        <v>665100355</v>
      </c>
      <c r="I29" s="6">
        <v>44777</v>
      </c>
      <c r="J29" s="5">
        <v>2022</v>
      </c>
      <c r="K29" s="5">
        <v>8</v>
      </c>
      <c r="L29" s="10">
        <v>128481.04</v>
      </c>
      <c r="M29" s="10">
        <v>62359.73</v>
      </c>
      <c r="N29" s="10">
        <v>13669.08</v>
      </c>
      <c r="O29" s="10">
        <v>545.95000000000005</v>
      </c>
      <c r="P29" s="10">
        <v>4094.87</v>
      </c>
      <c r="Q29" s="10">
        <v>509.57</v>
      </c>
      <c r="R29" s="10">
        <v>4197.82</v>
      </c>
      <c r="S29" s="10">
        <v>2579.1</v>
      </c>
      <c r="T29" s="10">
        <v>1070.29</v>
      </c>
      <c r="U29" s="10">
        <f t="shared" si="1"/>
        <v>89026.409999999989</v>
      </c>
      <c r="V29" s="10">
        <f t="shared" si="2"/>
        <v>39454.630000000005</v>
      </c>
      <c r="W29" s="10">
        <v>19358.36</v>
      </c>
    </row>
    <row r="30" spans="3:23" x14ac:dyDescent="0.3">
      <c r="C30" s="5" t="s">
        <v>35</v>
      </c>
      <c r="D30" s="5" t="s">
        <v>36</v>
      </c>
      <c r="E30" s="5" t="s">
        <v>37</v>
      </c>
      <c r="F30" s="5" t="s">
        <v>42</v>
      </c>
      <c r="G30" s="5" t="s">
        <v>43</v>
      </c>
      <c r="H30" s="5">
        <v>665100356</v>
      </c>
      <c r="I30" s="6">
        <v>44808</v>
      </c>
      <c r="J30" s="5">
        <v>2022</v>
      </c>
      <c r="K30" s="5">
        <v>9</v>
      </c>
      <c r="L30" s="10">
        <v>455531.51</v>
      </c>
      <c r="M30" s="10">
        <v>231199.99</v>
      </c>
      <c r="N30" s="10">
        <v>47967.93</v>
      </c>
      <c r="O30" s="10">
        <v>1999.82</v>
      </c>
      <c r="P30" s="10">
        <v>15393.28</v>
      </c>
      <c r="Q30" s="10">
        <v>1992.12</v>
      </c>
      <c r="R30" s="10">
        <v>16319.06</v>
      </c>
      <c r="S30" s="10">
        <v>9690.56</v>
      </c>
      <c r="T30" s="10">
        <v>3832.92</v>
      </c>
      <c r="U30" s="10">
        <f t="shared" si="1"/>
        <v>328395.68</v>
      </c>
      <c r="V30" s="10">
        <f t="shared" si="2"/>
        <v>127135.83000000002</v>
      </c>
      <c r="W30" s="10">
        <v>81384.39</v>
      </c>
    </row>
    <row r="31" spans="3:23" x14ac:dyDescent="0.3"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>
        <v>665100357</v>
      </c>
      <c r="I31" s="6">
        <v>44873</v>
      </c>
      <c r="J31" s="5">
        <v>2022</v>
      </c>
      <c r="K31" s="5">
        <v>11</v>
      </c>
      <c r="L31" s="10">
        <v>315479.55</v>
      </c>
      <c r="M31" s="10">
        <v>115124.25</v>
      </c>
      <c r="N31" s="10">
        <v>39730.53</v>
      </c>
      <c r="O31" s="10">
        <v>1583.4</v>
      </c>
      <c r="P31" s="10">
        <v>6175.48</v>
      </c>
      <c r="Q31" s="10">
        <v>1617.66</v>
      </c>
      <c r="R31" s="10">
        <v>11768.82</v>
      </c>
      <c r="S31" s="10">
        <v>7678.22</v>
      </c>
      <c r="T31" s="10">
        <v>2095.31</v>
      </c>
      <c r="U31" s="10">
        <f t="shared" si="1"/>
        <v>185773.67</v>
      </c>
      <c r="V31" s="10">
        <f t="shared" si="2"/>
        <v>129705.87999999998</v>
      </c>
      <c r="W31" s="10">
        <v>94878.14</v>
      </c>
    </row>
    <row r="32" spans="3:23" x14ac:dyDescent="0.3">
      <c r="C32" s="5" t="s">
        <v>35</v>
      </c>
      <c r="D32" s="5" t="s">
        <v>36</v>
      </c>
      <c r="E32" s="5" t="s">
        <v>37</v>
      </c>
      <c r="F32" s="5" t="s">
        <v>42</v>
      </c>
      <c r="G32" s="5" t="s">
        <v>43</v>
      </c>
      <c r="H32" s="5">
        <v>665100356</v>
      </c>
      <c r="I32" s="6">
        <v>44876</v>
      </c>
      <c r="J32" s="5">
        <v>2022</v>
      </c>
      <c r="K32" s="5">
        <v>11</v>
      </c>
      <c r="L32" s="10">
        <v>467859.14</v>
      </c>
      <c r="M32" s="10">
        <v>297602.27</v>
      </c>
      <c r="N32" s="10">
        <v>59114.92</v>
      </c>
      <c r="O32" s="10">
        <v>2319.91</v>
      </c>
      <c r="P32" s="10">
        <v>19456</v>
      </c>
      <c r="Q32" s="10">
        <v>2490.2399999999998</v>
      </c>
      <c r="R32" s="10">
        <v>19791.419999999998</v>
      </c>
      <c r="S32" s="10">
        <v>12335.95</v>
      </c>
      <c r="T32" s="10">
        <v>4682.2</v>
      </c>
      <c r="U32" s="10">
        <f t="shared" si="1"/>
        <v>417792.91</v>
      </c>
      <c r="V32" s="10">
        <f t="shared" si="2"/>
        <v>50066.23000000004</v>
      </c>
      <c r="W32" s="10">
        <v>31384.19</v>
      </c>
    </row>
    <row r="33" spans="3:23" x14ac:dyDescent="0.3">
      <c r="C33" s="5" t="s">
        <v>35</v>
      </c>
      <c r="D33" s="5" t="s">
        <v>36</v>
      </c>
      <c r="E33" s="5" t="s">
        <v>37</v>
      </c>
      <c r="F33" s="5" t="s">
        <v>40</v>
      </c>
      <c r="G33" s="5" t="s">
        <v>41</v>
      </c>
      <c r="H33" s="5">
        <v>665100358</v>
      </c>
      <c r="I33" s="6">
        <v>44901</v>
      </c>
      <c r="J33" s="5">
        <v>2022</v>
      </c>
      <c r="K33" s="5">
        <v>12</v>
      </c>
      <c r="L33" s="10">
        <v>106182.16</v>
      </c>
      <c r="M33" s="10">
        <v>65093.09</v>
      </c>
      <c r="N33" s="10">
        <v>13611.61</v>
      </c>
      <c r="O33" s="10">
        <v>537.62</v>
      </c>
      <c r="P33" s="10">
        <v>4157.54</v>
      </c>
      <c r="Q33" s="10">
        <v>547.82000000000005</v>
      </c>
      <c r="R33" s="10">
        <v>4080.28</v>
      </c>
      <c r="S33" s="10">
        <v>2621.8</v>
      </c>
      <c r="T33" s="10">
        <v>1089.92</v>
      </c>
      <c r="U33" s="10">
        <f t="shared" si="1"/>
        <v>91739.68</v>
      </c>
      <c r="V33" s="10">
        <f t="shared" si="2"/>
        <v>14442.48000000001</v>
      </c>
      <c r="W33" s="10">
        <v>8759.11</v>
      </c>
    </row>
    <row r="34" spans="3:23" x14ac:dyDescent="0.3">
      <c r="C34" s="5" t="s">
        <v>35</v>
      </c>
      <c r="D34" s="5" t="s">
        <v>36</v>
      </c>
      <c r="E34" s="5" t="s">
        <v>37</v>
      </c>
      <c r="F34" s="5" t="s">
        <v>44</v>
      </c>
      <c r="G34" s="5" t="s">
        <v>45</v>
      </c>
      <c r="H34" s="5">
        <v>665100359</v>
      </c>
      <c r="I34" s="6">
        <v>44910</v>
      </c>
      <c r="J34" s="5">
        <v>2022</v>
      </c>
      <c r="K34" s="5">
        <v>12</v>
      </c>
      <c r="L34" s="10">
        <v>306890.57</v>
      </c>
      <c r="M34" s="10">
        <v>64727.33</v>
      </c>
      <c r="N34" s="10">
        <v>13488.13</v>
      </c>
      <c r="O34" s="10">
        <v>524.25</v>
      </c>
      <c r="P34" s="10">
        <v>4240.57</v>
      </c>
      <c r="Q34" s="10">
        <v>524.74</v>
      </c>
      <c r="R34" s="10">
        <v>4426.78</v>
      </c>
      <c r="S34" s="10">
        <v>2567.2199999999998</v>
      </c>
      <c r="T34" s="10">
        <v>1062.06</v>
      </c>
      <c r="U34" s="10">
        <f t="shared" si="1"/>
        <v>91561.08</v>
      </c>
      <c r="V34" s="10">
        <f t="shared" si="2"/>
        <v>215329.49</v>
      </c>
      <c r="W34" s="10">
        <v>27556.89</v>
      </c>
    </row>
    <row r="35" spans="3:23" x14ac:dyDescent="0.3">
      <c r="C35" s="5" t="s">
        <v>35</v>
      </c>
      <c r="D35" s="5" t="s">
        <v>36</v>
      </c>
      <c r="E35" s="5" t="s">
        <v>37</v>
      </c>
      <c r="F35" s="5" t="s">
        <v>38</v>
      </c>
      <c r="G35" s="5" t="s">
        <v>39</v>
      </c>
      <c r="H35" s="5">
        <v>665100360</v>
      </c>
      <c r="I35" s="6">
        <v>44935</v>
      </c>
      <c r="J35" s="5">
        <v>2023</v>
      </c>
      <c r="K35" s="5">
        <v>1</v>
      </c>
      <c r="L35" s="10">
        <v>368277.81</v>
      </c>
      <c r="M35" s="10">
        <v>154561.35</v>
      </c>
      <c r="N35" s="10">
        <v>42941.99</v>
      </c>
      <c r="O35" s="10">
        <v>6186.98</v>
      </c>
      <c r="P35" s="10">
        <v>19290.939999999999</v>
      </c>
      <c r="Q35" s="10">
        <v>7554.48</v>
      </c>
      <c r="R35" s="10">
        <v>20120.099999999999</v>
      </c>
      <c r="S35" s="10">
        <v>19761.73</v>
      </c>
      <c r="T35" s="10">
        <v>10617.85</v>
      </c>
      <c r="U35" s="10">
        <f t="shared" si="1"/>
        <v>281035.42</v>
      </c>
      <c r="V35" s="10">
        <f t="shared" si="2"/>
        <v>87242.390000000014</v>
      </c>
      <c r="W35" s="10">
        <v>35203.199999999997</v>
      </c>
    </row>
    <row r="36" spans="3:23" x14ac:dyDescent="0.3">
      <c r="C36" s="5" t="s">
        <v>35</v>
      </c>
      <c r="D36" s="5" t="s">
        <v>36</v>
      </c>
      <c r="E36" s="5" t="s">
        <v>37</v>
      </c>
      <c r="F36" s="5" t="s">
        <v>40</v>
      </c>
      <c r="G36" s="5" t="s">
        <v>39</v>
      </c>
      <c r="H36" s="5">
        <v>665100360</v>
      </c>
      <c r="I36" s="6">
        <v>44935</v>
      </c>
      <c r="J36" s="5">
        <v>2023</v>
      </c>
      <c r="K36" s="5">
        <v>1</v>
      </c>
      <c r="L36" s="10">
        <v>378675.08</v>
      </c>
      <c r="M36" s="10">
        <v>155896.39000000001</v>
      </c>
      <c r="N36" s="10">
        <v>40647.35</v>
      </c>
      <c r="O36" s="10">
        <v>6011.27</v>
      </c>
      <c r="P36" s="10">
        <v>21063.01</v>
      </c>
      <c r="Q36" s="10">
        <v>7817.68</v>
      </c>
      <c r="R36" s="10">
        <v>19870.57</v>
      </c>
      <c r="S36" s="10">
        <v>19772.02</v>
      </c>
      <c r="T36" s="10">
        <v>10441.11</v>
      </c>
      <c r="U36" s="10">
        <f t="shared" si="1"/>
        <v>281519.40000000002</v>
      </c>
      <c r="V36" s="10">
        <f t="shared" si="2"/>
        <v>97155.68</v>
      </c>
      <c r="W36" s="10">
        <v>45533.78</v>
      </c>
    </row>
    <row r="37" spans="3:23" x14ac:dyDescent="0.3">
      <c r="C37" s="5" t="s">
        <v>35</v>
      </c>
      <c r="D37" s="5" t="s">
        <v>36</v>
      </c>
      <c r="E37" s="5" t="s">
        <v>37</v>
      </c>
      <c r="F37" s="5" t="s">
        <v>40</v>
      </c>
      <c r="G37" s="5" t="s">
        <v>41</v>
      </c>
      <c r="H37" s="5">
        <v>665100361</v>
      </c>
      <c r="I37" s="6">
        <v>44942</v>
      </c>
      <c r="J37" s="5">
        <v>2023</v>
      </c>
      <c r="K37" s="5">
        <v>1</v>
      </c>
      <c r="L37" s="10">
        <v>269584.28000000003</v>
      </c>
      <c r="M37" s="10">
        <v>176744.83</v>
      </c>
      <c r="N37" s="10">
        <v>36662.410000000003</v>
      </c>
      <c r="O37" s="10">
        <v>3017.79</v>
      </c>
      <c r="P37" s="10">
        <v>13858.19</v>
      </c>
      <c r="Q37" s="10">
        <v>1683.69</v>
      </c>
      <c r="R37" s="10">
        <v>11972.12</v>
      </c>
      <c r="S37" s="10">
        <v>2929.51</v>
      </c>
      <c r="T37" s="10">
        <v>1102.69</v>
      </c>
      <c r="U37" s="10">
        <f t="shared" si="1"/>
        <v>247971.23</v>
      </c>
      <c r="V37" s="10">
        <f t="shared" si="2"/>
        <v>21613.050000000017</v>
      </c>
      <c r="W37" s="10">
        <v>7564.52</v>
      </c>
    </row>
    <row r="38" spans="3:23" x14ac:dyDescent="0.3">
      <c r="C38" s="5" t="s">
        <v>35</v>
      </c>
      <c r="D38" s="5" t="s">
        <v>36</v>
      </c>
      <c r="E38" s="5" t="s">
        <v>37</v>
      </c>
      <c r="F38" s="5" t="s">
        <v>42</v>
      </c>
      <c r="G38" s="5" t="s">
        <v>43</v>
      </c>
      <c r="H38" s="5">
        <v>665100362</v>
      </c>
      <c r="I38" s="6">
        <v>44949</v>
      </c>
      <c r="J38" s="5">
        <v>2023</v>
      </c>
      <c r="K38" s="5">
        <v>1</v>
      </c>
      <c r="L38" s="10">
        <v>461734.88</v>
      </c>
      <c r="M38" s="10">
        <v>247402.9</v>
      </c>
      <c r="N38" s="10">
        <v>52996.74</v>
      </c>
      <c r="O38" s="10">
        <v>2135.73</v>
      </c>
      <c r="P38" s="10">
        <v>16801.27</v>
      </c>
      <c r="Q38" s="10">
        <v>2186.4</v>
      </c>
      <c r="R38" s="10">
        <v>17211.84</v>
      </c>
      <c r="S38" s="10">
        <v>11127.45</v>
      </c>
      <c r="T38" s="10">
        <v>4248.13</v>
      </c>
      <c r="U38" s="10">
        <f t="shared" si="1"/>
        <v>354110.46000000008</v>
      </c>
      <c r="V38" s="10">
        <f t="shared" si="2"/>
        <v>107624.41999999993</v>
      </c>
      <c r="W38" s="10">
        <v>42737.2</v>
      </c>
    </row>
    <row r="39" spans="3:23" x14ac:dyDescent="0.3">
      <c r="C39" s="5" t="s">
        <v>35</v>
      </c>
      <c r="D39" s="5" t="s">
        <v>36</v>
      </c>
      <c r="E39" s="5" t="s">
        <v>37</v>
      </c>
      <c r="F39" s="5" t="s">
        <v>42</v>
      </c>
      <c r="G39" s="5" t="s">
        <v>43</v>
      </c>
      <c r="H39" s="5">
        <v>665100362</v>
      </c>
      <c r="I39" s="6">
        <v>44949</v>
      </c>
      <c r="J39" s="5">
        <v>2023</v>
      </c>
      <c r="K39" s="5">
        <v>1</v>
      </c>
      <c r="L39" s="10">
        <v>483964.09</v>
      </c>
      <c r="M39" s="10">
        <v>241093.86</v>
      </c>
      <c r="N39" s="10">
        <v>51192.02</v>
      </c>
      <c r="O39" s="10">
        <v>2112.21</v>
      </c>
      <c r="P39" s="10">
        <v>16488.87</v>
      </c>
      <c r="Q39" s="10">
        <v>2164.86</v>
      </c>
      <c r="R39" s="10">
        <v>16325.93</v>
      </c>
      <c r="S39" s="10">
        <v>10284.33</v>
      </c>
      <c r="T39" s="10">
        <v>4391.04</v>
      </c>
      <c r="U39" s="10">
        <f t="shared" si="1"/>
        <v>344053.12</v>
      </c>
      <c r="V39" s="10">
        <f t="shared" si="2"/>
        <v>139910.97000000003</v>
      </c>
      <c r="W39" s="10">
        <v>105494.05</v>
      </c>
    </row>
    <row r="40" spans="3:23" x14ac:dyDescent="0.3"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  <c r="H40" s="5">
        <v>665100363</v>
      </c>
      <c r="I40" s="6">
        <v>44990</v>
      </c>
      <c r="J40" s="5">
        <v>2023</v>
      </c>
      <c r="K40" s="5">
        <v>3</v>
      </c>
      <c r="L40" s="10">
        <v>186466.9</v>
      </c>
      <c r="M40" s="10">
        <v>83164.94</v>
      </c>
      <c r="N40" s="10">
        <v>43244.88</v>
      </c>
      <c r="O40" s="10">
        <v>2748.38</v>
      </c>
      <c r="P40" s="10">
        <v>14448.46</v>
      </c>
      <c r="Q40" s="10">
        <v>1670.01</v>
      </c>
      <c r="R40" s="10">
        <v>10609.12</v>
      </c>
      <c r="S40" s="10">
        <v>4077.56</v>
      </c>
      <c r="T40" s="10">
        <v>4734.87</v>
      </c>
      <c r="U40" s="10">
        <f t="shared" si="1"/>
        <v>164698.22</v>
      </c>
      <c r="V40" s="10">
        <f t="shared" si="2"/>
        <v>21768.679999999993</v>
      </c>
      <c r="W40" s="10">
        <v>4025.16</v>
      </c>
    </row>
    <row r="41" spans="3:23" x14ac:dyDescent="0.3">
      <c r="C41" s="5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>
        <v>665100363</v>
      </c>
      <c r="I41" s="6">
        <v>44990</v>
      </c>
      <c r="J41" s="5">
        <v>2023</v>
      </c>
      <c r="K41" s="5">
        <v>3</v>
      </c>
      <c r="L41" s="10">
        <v>207824.8</v>
      </c>
      <c r="M41" s="10">
        <v>90039.59</v>
      </c>
      <c r="N41" s="10">
        <v>41564.69</v>
      </c>
      <c r="O41" s="10">
        <v>2919.47</v>
      </c>
      <c r="P41" s="10">
        <v>15087.72</v>
      </c>
      <c r="Q41" s="10">
        <v>1630.87</v>
      </c>
      <c r="R41" s="10">
        <v>11196.27</v>
      </c>
      <c r="S41" s="10">
        <v>3686.74</v>
      </c>
      <c r="T41" s="10">
        <v>4625.79</v>
      </c>
      <c r="U41" s="10">
        <f t="shared" si="1"/>
        <v>170751.13999999998</v>
      </c>
      <c r="V41" s="10">
        <f t="shared" si="2"/>
        <v>37073.660000000003</v>
      </c>
      <c r="W41" s="10">
        <v>3908.91</v>
      </c>
    </row>
    <row r="42" spans="3:23" x14ac:dyDescent="0.3">
      <c r="C42" s="5" t="s">
        <v>35</v>
      </c>
      <c r="D42" s="5" t="s">
        <v>36</v>
      </c>
      <c r="E42" s="5" t="s">
        <v>37</v>
      </c>
      <c r="F42" s="5" t="s">
        <v>40</v>
      </c>
      <c r="G42" s="5" t="s">
        <v>41</v>
      </c>
      <c r="H42" s="5">
        <v>665100364</v>
      </c>
      <c r="I42" s="6">
        <v>45018</v>
      </c>
      <c r="J42" s="5">
        <v>2023</v>
      </c>
      <c r="K42" s="5">
        <v>4</v>
      </c>
      <c r="L42" s="10">
        <v>120271.29</v>
      </c>
      <c r="M42" s="10">
        <v>67148.509999999995</v>
      </c>
      <c r="N42" s="10">
        <v>13977.4</v>
      </c>
      <c r="O42" s="10">
        <v>556.5</v>
      </c>
      <c r="P42" s="10">
        <v>4499.3599999999997</v>
      </c>
      <c r="Q42" s="10">
        <v>583.72</v>
      </c>
      <c r="R42" s="10">
        <v>4643.62</v>
      </c>
      <c r="S42" s="10">
        <v>2979.35</v>
      </c>
      <c r="T42" s="10">
        <v>1129.3</v>
      </c>
      <c r="U42" s="10">
        <f t="shared" si="1"/>
        <v>95517.759999999995</v>
      </c>
      <c r="V42" s="10">
        <f t="shared" si="2"/>
        <v>24753.53</v>
      </c>
      <c r="W42" s="10">
        <v>13105.82</v>
      </c>
    </row>
    <row r="43" spans="3:23" x14ac:dyDescent="0.3">
      <c r="C43" s="5" t="s">
        <v>35</v>
      </c>
      <c r="D43" s="5" t="s">
        <v>36</v>
      </c>
      <c r="E43" s="5" t="s">
        <v>37</v>
      </c>
      <c r="F43" s="5" t="s">
        <v>42</v>
      </c>
      <c r="G43" s="5" t="s">
        <v>43</v>
      </c>
      <c r="H43" s="5">
        <v>665100365</v>
      </c>
      <c r="I43" s="6">
        <v>45049</v>
      </c>
      <c r="J43" s="5">
        <v>2023</v>
      </c>
      <c r="K43" s="5">
        <v>5</v>
      </c>
      <c r="L43" s="10">
        <v>470729.02</v>
      </c>
      <c r="M43" s="10">
        <v>265131.48</v>
      </c>
      <c r="N43" s="10">
        <v>53914.1</v>
      </c>
      <c r="O43" s="10">
        <v>2055.46</v>
      </c>
      <c r="P43" s="10">
        <v>17608.73</v>
      </c>
      <c r="Q43" s="10">
        <v>2219.19</v>
      </c>
      <c r="R43" s="10">
        <v>17720.75</v>
      </c>
      <c r="S43" s="10">
        <v>10769.93</v>
      </c>
      <c r="T43" s="10">
        <v>4103.45</v>
      </c>
      <c r="U43" s="10">
        <f t="shared" si="1"/>
        <v>373523.08999999997</v>
      </c>
      <c r="V43" s="10">
        <f t="shared" si="2"/>
        <v>97205.930000000051</v>
      </c>
      <c r="W43" s="10">
        <v>35519.33</v>
      </c>
    </row>
    <row r="44" spans="3:23" x14ac:dyDescent="0.3">
      <c r="C44" s="5" t="s">
        <v>35</v>
      </c>
      <c r="D44" s="5" t="s">
        <v>36</v>
      </c>
      <c r="E44" s="5" t="s">
        <v>37</v>
      </c>
      <c r="F44" s="5" t="s">
        <v>38</v>
      </c>
      <c r="G44" s="5" t="s">
        <v>39</v>
      </c>
      <c r="H44" s="5">
        <v>665100366</v>
      </c>
      <c r="I44" s="6">
        <v>45114</v>
      </c>
      <c r="J44" s="5">
        <v>2023</v>
      </c>
      <c r="K44" s="5">
        <v>7</v>
      </c>
      <c r="L44" s="10">
        <v>178887.89</v>
      </c>
      <c r="M44" s="10">
        <v>80740.149999999994</v>
      </c>
      <c r="N44" s="10">
        <v>45518.29</v>
      </c>
      <c r="O44" s="10">
        <v>1693.54</v>
      </c>
      <c r="P44" s="10">
        <v>17728.43</v>
      </c>
      <c r="Q44" s="10">
        <v>1636.42</v>
      </c>
      <c r="R44" s="10">
        <v>6600.71</v>
      </c>
      <c r="S44" s="10">
        <v>8307.6299999999992</v>
      </c>
      <c r="T44" s="10">
        <v>2276.77</v>
      </c>
      <c r="U44" s="10">
        <f t="shared" si="1"/>
        <v>164501.94</v>
      </c>
      <c r="V44" s="10">
        <f t="shared" si="2"/>
        <v>14385.950000000012</v>
      </c>
      <c r="W44" s="10">
        <v>3593.87</v>
      </c>
    </row>
    <row r="45" spans="3:23" x14ac:dyDescent="0.3">
      <c r="C45" s="5" t="s">
        <v>35</v>
      </c>
      <c r="D45" s="5" t="s">
        <v>36</v>
      </c>
      <c r="E45" s="5" t="s">
        <v>37</v>
      </c>
      <c r="F45" s="5" t="s">
        <v>40</v>
      </c>
      <c r="G45" s="5" t="s">
        <v>41</v>
      </c>
      <c r="H45" s="5">
        <v>665100367</v>
      </c>
      <c r="I45" s="6">
        <v>45142</v>
      </c>
      <c r="J45" s="5">
        <v>2023</v>
      </c>
      <c r="K45" s="5">
        <v>8</v>
      </c>
      <c r="L45" s="10">
        <v>140922.07</v>
      </c>
      <c r="M45" s="10">
        <v>67684.98</v>
      </c>
      <c r="N45" s="10">
        <v>15034.37</v>
      </c>
      <c r="O45" s="10">
        <v>575.80999999999995</v>
      </c>
      <c r="P45" s="10">
        <v>4239.5200000000004</v>
      </c>
      <c r="Q45" s="10">
        <v>549.08000000000004</v>
      </c>
      <c r="R45" s="10">
        <v>4406.29</v>
      </c>
      <c r="S45" s="10">
        <v>2768.5</v>
      </c>
      <c r="T45" s="10">
        <v>1106.9000000000001</v>
      </c>
      <c r="U45" s="10">
        <f t="shared" si="1"/>
        <v>96365.449999999983</v>
      </c>
      <c r="V45" s="10">
        <f t="shared" si="2"/>
        <v>44556.620000000024</v>
      </c>
      <c r="W45" s="10">
        <v>21205.599999999999</v>
      </c>
    </row>
    <row r="46" spans="3:23" x14ac:dyDescent="0.3">
      <c r="C46" s="5" t="s">
        <v>35</v>
      </c>
      <c r="D46" s="5" t="s">
        <v>36</v>
      </c>
      <c r="E46" s="5" t="s">
        <v>37</v>
      </c>
      <c r="F46" s="5" t="s">
        <v>42</v>
      </c>
      <c r="G46" s="5" t="s">
        <v>43</v>
      </c>
      <c r="H46" s="5">
        <v>665100368</v>
      </c>
      <c r="I46" s="6">
        <v>45173</v>
      </c>
      <c r="J46" s="5">
        <v>2023</v>
      </c>
      <c r="K46" s="5">
        <v>9</v>
      </c>
      <c r="L46" s="10">
        <v>485933.31</v>
      </c>
      <c r="M46" s="10">
        <v>239370.9</v>
      </c>
      <c r="N46" s="10">
        <v>49860.08</v>
      </c>
      <c r="O46" s="10">
        <v>2100.84</v>
      </c>
      <c r="P46" s="10">
        <v>16976.47</v>
      </c>
      <c r="Q46" s="10">
        <v>2209.54</v>
      </c>
      <c r="R46" s="10">
        <v>17854.52</v>
      </c>
      <c r="S46" s="10">
        <v>10207.43</v>
      </c>
      <c r="T46" s="10">
        <v>3992.69</v>
      </c>
      <c r="U46" s="10">
        <f t="shared" si="1"/>
        <v>342572.47000000003</v>
      </c>
      <c r="V46" s="10">
        <f t="shared" si="2"/>
        <v>143360.83999999997</v>
      </c>
      <c r="W46" s="10">
        <v>86380.47</v>
      </c>
    </row>
    <row r="47" spans="3:23" x14ac:dyDescent="0.3">
      <c r="C47" s="5" t="s">
        <v>35</v>
      </c>
      <c r="D47" s="5" t="s">
        <v>36</v>
      </c>
      <c r="E47" s="5" t="s">
        <v>37</v>
      </c>
      <c r="F47" s="5" t="s">
        <v>38</v>
      </c>
      <c r="G47" s="5" t="s">
        <v>39</v>
      </c>
      <c r="H47" s="5">
        <v>665100369</v>
      </c>
      <c r="I47" s="6">
        <v>45238</v>
      </c>
      <c r="J47" s="5">
        <v>2023</v>
      </c>
      <c r="K47" s="5">
        <v>11</v>
      </c>
      <c r="L47" s="10">
        <v>344425.56</v>
      </c>
      <c r="M47" s="10">
        <v>118572.63</v>
      </c>
      <c r="N47" s="10">
        <v>41392.07</v>
      </c>
      <c r="O47" s="10">
        <v>1682.69</v>
      </c>
      <c r="P47" s="10">
        <v>6515.73</v>
      </c>
      <c r="Q47" s="10">
        <v>1737.29</v>
      </c>
      <c r="R47" s="10">
        <v>12112.71</v>
      </c>
      <c r="S47" s="10">
        <v>8325.51</v>
      </c>
      <c r="T47" s="10">
        <v>2159.56</v>
      </c>
      <c r="U47" s="10">
        <f t="shared" si="1"/>
        <v>192498.19000000003</v>
      </c>
      <c r="V47" s="10">
        <f t="shared" si="2"/>
        <v>151927.36999999997</v>
      </c>
      <c r="W47" s="10">
        <v>99946.61</v>
      </c>
    </row>
    <row r="48" spans="3:23" x14ac:dyDescent="0.3">
      <c r="C48" s="5" t="s">
        <v>35</v>
      </c>
      <c r="D48" s="5" t="s">
        <v>36</v>
      </c>
      <c r="E48" s="5" t="s">
        <v>37</v>
      </c>
      <c r="F48" s="5" t="s">
        <v>42</v>
      </c>
      <c r="G48" s="5" t="s">
        <v>43</v>
      </c>
      <c r="H48" s="5">
        <v>665100368</v>
      </c>
      <c r="I48" s="6">
        <v>45241</v>
      </c>
      <c r="J48" s="5">
        <v>2023</v>
      </c>
      <c r="K48" s="5">
        <v>11</v>
      </c>
      <c r="L48" s="10">
        <v>518059.18</v>
      </c>
      <c r="M48" s="10">
        <v>324042.71000000002</v>
      </c>
      <c r="N48" s="10">
        <v>63152</v>
      </c>
      <c r="O48" s="10">
        <v>2537.4299999999998</v>
      </c>
      <c r="P48" s="10">
        <v>20082.73</v>
      </c>
      <c r="Q48" s="10">
        <v>2766.34</v>
      </c>
      <c r="R48" s="10">
        <v>21893.02</v>
      </c>
      <c r="S48" s="10">
        <v>13241.34</v>
      </c>
      <c r="T48" s="10">
        <v>5103.82</v>
      </c>
      <c r="U48" s="10">
        <f t="shared" si="1"/>
        <v>452819.39000000007</v>
      </c>
      <c r="V48" s="10">
        <f t="shared" si="2"/>
        <v>65239.789999999921</v>
      </c>
      <c r="W48" s="10">
        <v>32404.84</v>
      </c>
    </row>
    <row r="49" spans="3:23" x14ac:dyDescent="0.3">
      <c r="C49" s="5" t="s">
        <v>35</v>
      </c>
      <c r="D49" s="5" t="s">
        <v>36</v>
      </c>
      <c r="E49" s="5" t="s">
        <v>37</v>
      </c>
      <c r="F49" s="5" t="s">
        <v>40</v>
      </c>
      <c r="G49" s="5" t="s">
        <v>41</v>
      </c>
      <c r="H49" s="5">
        <v>665100370</v>
      </c>
      <c r="I49" s="6">
        <v>45266</v>
      </c>
      <c r="J49" s="5">
        <v>2023</v>
      </c>
      <c r="K49" s="5">
        <v>12</v>
      </c>
      <c r="L49" s="10">
        <v>118176.13</v>
      </c>
      <c r="M49" s="10">
        <v>71859.47</v>
      </c>
      <c r="N49" s="10">
        <v>15145.93</v>
      </c>
      <c r="O49" s="10">
        <v>593.12</v>
      </c>
      <c r="P49" s="10">
        <v>4461.1099999999997</v>
      </c>
      <c r="Q49" s="10">
        <v>581.92999999999995</v>
      </c>
      <c r="R49" s="10">
        <v>4445.42</v>
      </c>
      <c r="S49" s="10">
        <v>2716.82</v>
      </c>
      <c r="T49" s="10">
        <v>1198.3900000000001</v>
      </c>
      <c r="U49" s="10">
        <f t="shared" si="1"/>
        <v>101002.18999999999</v>
      </c>
      <c r="V49" s="10">
        <f t="shared" si="2"/>
        <v>17173.940000000017</v>
      </c>
      <c r="W49" s="10">
        <v>9137.39</v>
      </c>
    </row>
    <row r="50" spans="3:23" x14ac:dyDescent="0.3">
      <c r="C50" s="5" t="s">
        <v>35</v>
      </c>
      <c r="D50" s="5" t="s">
        <v>36</v>
      </c>
      <c r="E50" s="5" t="s">
        <v>37</v>
      </c>
      <c r="F50" s="5" t="s">
        <v>44</v>
      </c>
      <c r="G50" s="5" t="s">
        <v>45</v>
      </c>
      <c r="H50" s="5">
        <v>665100371</v>
      </c>
      <c r="I50" s="6">
        <v>45275</v>
      </c>
      <c r="J50" s="5">
        <v>2023</v>
      </c>
      <c r="K50" s="5">
        <v>12</v>
      </c>
      <c r="L50" s="10">
        <v>330336.55</v>
      </c>
      <c r="M50" s="10">
        <v>68807.75</v>
      </c>
      <c r="N50" s="10">
        <v>14352.4</v>
      </c>
      <c r="O50" s="10">
        <v>575.17999999999995</v>
      </c>
      <c r="P50" s="10">
        <v>4645.3100000000004</v>
      </c>
      <c r="Q50" s="10">
        <v>550.75</v>
      </c>
      <c r="R50" s="10">
        <v>4628.49</v>
      </c>
      <c r="S50" s="10">
        <v>2814.43</v>
      </c>
      <c r="T50" s="10">
        <v>1102.3900000000001</v>
      </c>
      <c r="U50" s="10">
        <f t="shared" si="1"/>
        <v>97476.699999999983</v>
      </c>
      <c r="V50" s="10">
        <f t="shared" si="2"/>
        <v>232859.85</v>
      </c>
      <c r="W50" s="10">
        <v>30420.17</v>
      </c>
    </row>
    <row r="51" spans="3:23" x14ac:dyDescent="0.3">
      <c r="C51" s="5" t="s">
        <v>35</v>
      </c>
      <c r="D51" s="5" t="s">
        <v>36</v>
      </c>
      <c r="E51" s="5" t="s">
        <v>37</v>
      </c>
      <c r="F51" s="5" t="s">
        <v>38</v>
      </c>
      <c r="G51" s="5" t="s">
        <v>39</v>
      </c>
      <c r="H51" s="5">
        <v>665100372</v>
      </c>
      <c r="I51" s="6">
        <v>45300</v>
      </c>
      <c r="J51" s="5">
        <v>2024</v>
      </c>
      <c r="K51" s="5">
        <v>1</v>
      </c>
      <c r="L51" s="10">
        <v>398930.83</v>
      </c>
      <c r="M51" s="10">
        <v>170735.21</v>
      </c>
      <c r="N51" s="10">
        <v>47493.31</v>
      </c>
      <c r="O51" s="10">
        <v>6573.61</v>
      </c>
      <c r="P51" s="10">
        <v>20592.400000000001</v>
      </c>
      <c r="Q51" s="10">
        <v>8241.09</v>
      </c>
      <c r="R51" s="10">
        <v>21563.19</v>
      </c>
      <c r="S51" s="10">
        <v>20711.75</v>
      </c>
      <c r="T51" s="10">
        <v>11370.72</v>
      </c>
      <c r="U51" s="10">
        <f t="shared" si="1"/>
        <v>307281.27999999991</v>
      </c>
      <c r="V51" s="10">
        <f t="shared" si="2"/>
        <v>91649.550000000105</v>
      </c>
      <c r="W51" s="10">
        <v>36842.639999999999</v>
      </c>
    </row>
    <row r="52" spans="3:23" x14ac:dyDescent="0.3">
      <c r="C52" s="5" t="s">
        <v>35</v>
      </c>
      <c r="D52" s="5" t="s">
        <v>36</v>
      </c>
      <c r="E52" s="5" t="s">
        <v>37</v>
      </c>
      <c r="F52" s="5" t="s">
        <v>40</v>
      </c>
      <c r="G52" s="5" t="s">
        <v>39</v>
      </c>
      <c r="H52" s="5">
        <v>665100372</v>
      </c>
      <c r="I52" s="6">
        <v>45300</v>
      </c>
      <c r="J52" s="5">
        <v>2024</v>
      </c>
      <c r="K52" s="5">
        <v>1</v>
      </c>
      <c r="L52" s="10">
        <v>412687.95</v>
      </c>
      <c r="M52" s="10">
        <v>171851.6</v>
      </c>
      <c r="N52" s="10">
        <v>44387.51</v>
      </c>
      <c r="O52" s="10">
        <v>6341.79</v>
      </c>
      <c r="P52" s="10">
        <v>22392.82</v>
      </c>
      <c r="Q52" s="10">
        <v>8462.17</v>
      </c>
      <c r="R52" s="10">
        <v>21188.92</v>
      </c>
      <c r="S52" s="10">
        <v>21472.37</v>
      </c>
      <c r="T52" s="10">
        <v>11128.44</v>
      </c>
      <c r="U52" s="10">
        <f t="shared" si="1"/>
        <v>307225.62000000005</v>
      </c>
      <c r="V52" s="10">
        <f t="shared" si="2"/>
        <v>105462.32999999996</v>
      </c>
      <c r="W52" s="10">
        <v>47615.22</v>
      </c>
    </row>
    <row r="53" spans="3:23" x14ac:dyDescent="0.3">
      <c r="C53" s="5" t="s">
        <v>35</v>
      </c>
      <c r="D53" s="5" t="s">
        <v>36</v>
      </c>
      <c r="E53" s="5" t="s">
        <v>37</v>
      </c>
      <c r="F53" s="5" t="s">
        <v>40</v>
      </c>
      <c r="G53" s="5" t="s">
        <v>41</v>
      </c>
      <c r="H53" s="5">
        <v>665100373</v>
      </c>
      <c r="I53" s="6">
        <v>45307</v>
      </c>
      <c r="J53" s="5">
        <v>2024</v>
      </c>
      <c r="K53" s="5">
        <v>1</v>
      </c>
      <c r="L53" s="10">
        <v>281560.67</v>
      </c>
      <c r="M53" s="10">
        <v>193434.52</v>
      </c>
      <c r="N53" s="10">
        <v>38687.18</v>
      </c>
      <c r="O53" s="10">
        <v>3208.08</v>
      </c>
      <c r="P53" s="10">
        <v>14418.75</v>
      </c>
      <c r="Q53" s="10">
        <v>1776.17</v>
      </c>
      <c r="R53" s="10">
        <v>12584.35</v>
      </c>
      <c r="S53" s="10">
        <v>3266.64</v>
      </c>
      <c r="T53" s="10">
        <v>1204.45</v>
      </c>
      <c r="U53" s="10">
        <f t="shared" si="1"/>
        <v>268580.14</v>
      </c>
      <c r="V53" s="10">
        <f t="shared" si="2"/>
        <v>12980.52999999997</v>
      </c>
      <c r="W53" s="10">
        <v>8303.94</v>
      </c>
    </row>
    <row r="54" spans="3:23" x14ac:dyDescent="0.3">
      <c r="C54" s="5" t="s">
        <v>35</v>
      </c>
      <c r="D54" s="5" t="s">
        <v>36</v>
      </c>
      <c r="E54" s="5" t="s">
        <v>37</v>
      </c>
      <c r="F54" s="5" t="s">
        <v>42</v>
      </c>
      <c r="G54" s="5" t="s">
        <v>43</v>
      </c>
      <c r="H54" s="5">
        <v>665100374</v>
      </c>
      <c r="I54" s="6">
        <v>45314</v>
      </c>
      <c r="J54" s="5">
        <v>2024</v>
      </c>
      <c r="K54" s="5">
        <v>1</v>
      </c>
      <c r="L54" s="10">
        <v>480178.45</v>
      </c>
      <c r="M54" s="10">
        <v>272342.98</v>
      </c>
      <c r="N54" s="10">
        <v>55071.46</v>
      </c>
      <c r="O54" s="10">
        <v>2316.13</v>
      </c>
      <c r="P54" s="10">
        <v>17661.900000000001</v>
      </c>
      <c r="Q54" s="10">
        <v>2355.2199999999998</v>
      </c>
      <c r="R54" s="10">
        <v>18790.36</v>
      </c>
      <c r="S54" s="10">
        <v>12169.78</v>
      </c>
      <c r="T54" s="10">
        <v>4416.63</v>
      </c>
      <c r="U54" s="10">
        <f t="shared" si="1"/>
        <v>385124.46</v>
      </c>
      <c r="V54" s="10">
        <f t="shared" si="2"/>
        <v>95053.989999999991</v>
      </c>
      <c r="W54" s="10">
        <v>47795.06</v>
      </c>
    </row>
    <row r="55" spans="3:23" x14ac:dyDescent="0.3">
      <c r="C55" s="5" t="s">
        <v>35</v>
      </c>
      <c r="D55" s="5" t="s">
        <v>36</v>
      </c>
      <c r="E55" s="5" t="s">
        <v>37</v>
      </c>
      <c r="F55" s="5" t="s">
        <v>42</v>
      </c>
      <c r="G55" s="5" t="s">
        <v>43</v>
      </c>
      <c r="H55" s="5">
        <v>665100374</v>
      </c>
      <c r="I55" s="6">
        <v>45314</v>
      </c>
      <c r="J55" s="5">
        <v>2024</v>
      </c>
      <c r="K55" s="5">
        <v>1</v>
      </c>
      <c r="L55" s="10">
        <v>522556.03</v>
      </c>
      <c r="M55" s="10">
        <v>266510.15999999997</v>
      </c>
      <c r="N55" s="10">
        <v>57058.34</v>
      </c>
      <c r="O55" s="10">
        <v>2272.3200000000002</v>
      </c>
      <c r="P55" s="10">
        <v>17663.580000000002</v>
      </c>
      <c r="Q55" s="10">
        <v>2268.7800000000002</v>
      </c>
      <c r="R55" s="10">
        <v>17094.8</v>
      </c>
      <c r="S55" s="10">
        <v>11397.62</v>
      </c>
      <c r="T55" s="10">
        <v>4847.54</v>
      </c>
      <c r="U55" s="10">
        <f t="shared" si="1"/>
        <v>379113.14</v>
      </c>
      <c r="V55" s="10">
        <f t="shared" si="2"/>
        <v>143442.89000000001</v>
      </c>
      <c r="W55" s="10">
        <v>112885.65</v>
      </c>
    </row>
    <row r="56" spans="3:23" x14ac:dyDescent="0.3">
      <c r="C56" s="5" t="s">
        <v>35</v>
      </c>
      <c r="D56" s="5" t="s">
        <v>36</v>
      </c>
      <c r="E56" s="5" t="s">
        <v>37</v>
      </c>
      <c r="F56" s="5" t="s">
        <v>38</v>
      </c>
      <c r="G56" s="5" t="s">
        <v>39</v>
      </c>
      <c r="H56" s="5">
        <v>665100375</v>
      </c>
      <c r="I56" s="6">
        <v>45356</v>
      </c>
      <c r="J56" s="5">
        <v>2024</v>
      </c>
      <c r="K56" s="5">
        <v>3</v>
      </c>
      <c r="L56" s="10">
        <v>204444.56</v>
      </c>
      <c r="M56" s="10">
        <v>90290.14</v>
      </c>
      <c r="N56" s="10">
        <v>46850.82</v>
      </c>
      <c r="O56" s="10">
        <v>2896.53</v>
      </c>
      <c r="P56" s="10">
        <v>15727.07</v>
      </c>
      <c r="Q56" s="10">
        <v>1757.36</v>
      </c>
      <c r="R56" s="10">
        <v>11375.09</v>
      </c>
      <c r="S56" s="10">
        <v>4305.22</v>
      </c>
      <c r="T56" s="10">
        <v>5222.74</v>
      </c>
      <c r="U56" s="10">
        <f t="shared" si="1"/>
        <v>178424.96999999997</v>
      </c>
      <c r="V56" s="10">
        <f t="shared" si="2"/>
        <v>26019.590000000026</v>
      </c>
      <c r="W56" s="10">
        <v>4395.07</v>
      </c>
    </row>
    <row r="57" spans="3:23" x14ac:dyDescent="0.3">
      <c r="C57" s="5" t="s">
        <v>35</v>
      </c>
      <c r="D57" s="5" t="s">
        <v>36</v>
      </c>
      <c r="E57" s="5" t="s">
        <v>37</v>
      </c>
      <c r="F57" s="5" t="s">
        <v>38</v>
      </c>
      <c r="G57" s="5" t="s">
        <v>39</v>
      </c>
      <c r="H57" s="5">
        <v>665100375</v>
      </c>
      <c r="I57" s="6">
        <v>45356</v>
      </c>
      <c r="J57" s="5">
        <v>2024</v>
      </c>
      <c r="K57" s="5">
        <v>3</v>
      </c>
      <c r="L57" s="10">
        <v>223478.08</v>
      </c>
      <c r="M57" s="10">
        <v>97017.96</v>
      </c>
      <c r="N57" s="10">
        <v>44117.79</v>
      </c>
      <c r="O57" s="10">
        <v>3066.67</v>
      </c>
      <c r="P57" s="10">
        <v>16936.189999999999</v>
      </c>
      <c r="Q57" s="10">
        <v>1793.28</v>
      </c>
      <c r="R57" s="10">
        <v>12167.6</v>
      </c>
      <c r="S57" s="10">
        <v>4011.33</v>
      </c>
      <c r="T57" s="10">
        <v>4919.22</v>
      </c>
      <c r="U57" s="10">
        <f t="shared" si="1"/>
        <v>184030.04</v>
      </c>
      <c r="V57" s="10">
        <f t="shared" si="2"/>
        <v>39448.039999999979</v>
      </c>
      <c r="W57" s="10">
        <v>4202.83</v>
      </c>
    </row>
    <row r="58" spans="3:23" x14ac:dyDescent="0.3">
      <c r="C58" s="5" t="s">
        <v>35</v>
      </c>
      <c r="D58" s="5" t="s">
        <v>36</v>
      </c>
      <c r="E58" s="5" t="s">
        <v>37</v>
      </c>
      <c r="F58" s="5" t="s">
        <v>40</v>
      </c>
      <c r="G58" s="5" t="s">
        <v>41</v>
      </c>
      <c r="H58" s="5">
        <v>665100376</v>
      </c>
      <c r="I58" s="6">
        <v>45384</v>
      </c>
      <c r="J58" s="5">
        <v>2024</v>
      </c>
      <c r="K58" s="5">
        <v>4</v>
      </c>
      <c r="L58" s="10">
        <v>129637.82</v>
      </c>
      <c r="M58" s="10">
        <v>69832.7</v>
      </c>
      <c r="N58" s="10">
        <v>15305.74</v>
      </c>
      <c r="O58" s="10">
        <v>583.94000000000005</v>
      </c>
      <c r="P58" s="10">
        <v>4954.3500000000004</v>
      </c>
      <c r="Q58" s="10">
        <v>634.11</v>
      </c>
      <c r="R58" s="10">
        <v>5012.01</v>
      </c>
      <c r="S58" s="10">
        <v>3138.62</v>
      </c>
      <c r="T58" s="10">
        <v>1223.67</v>
      </c>
      <c r="U58" s="10">
        <f t="shared" si="1"/>
        <v>100685.14</v>
      </c>
      <c r="V58" s="10">
        <f t="shared" si="2"/>
        <v>28952.680000000008</v>
      </c>
      <c r="W58" s="10">
        <v>14339.95</v>
      </c>
    </row>
    <row r="59" spans="3:23" x14ac:dyDescent="0.3">
      <c r="C59" s="5" t="s">
        <v>35</v>
      </c>
      <c r="D59" s="5" t="s">
        <v>36</v>
      </c>
      <c r="E59" s="5" t="s">
        <v>37</v>
      </c>
      <c r="F59" s="5" t="s">
        <v>42</v>
      </c>
      <c r="G59" s="5" t="s">
        <v>43</v>
      </c>
      <c r="H59" s="5">
        <v>665100377</v>
      </c>
      <c r="I59" s="6">
        <v>45415</v>
      </c>
      <c r="J59" s="5">
        <v>2024</v>
      </c>
      <c r="K59" s="5">
        <v>5</v>
      </c>
      <c r="L59" s="10">
        <v>509246.56</v>
      </c>
      <c r="M59" s="10">
        <v>281484.43</v>
      </c>
      <c r="N59" s="10">
        <v>58558.45</v>
      </c>
      <c r="O59" s="10">
        <v>2270.66</v>
      </c>
      <c r="P59" s="10">
        <v>18505.13</v>
      </c>
      <c r="Q59" s="10">
        <v>2468.2399999999998</v>
      </c>
      <c r="R59" s="10">
        <v>19075.060000000001</v>
      </c>
      <c r="S59" s="10">
        <v>11650.09</v>
      </c>
      <c r="T59" s="10">
        <v>4557.55</v>
      </c>
      <c r="U59" s="10">
        <f t="shared" si="1"/>
        <v>398569.61</v>
      </c>
      <c r="V59" s="10">
        <f t="shared" si="2"/>
        <v>110676.95000000001</v>
      </c>
      <c r="W59" s="10">
        <v>39115.4</v>
      </c>
    </row>
    <row r="60" spans="3:23" x14ac:dyDescent="0.3">
      <c r="C60" s="5" t="s">
        <v>35</v>
      </c>
      <c r="D60" s="5" t="s">
        <v>36</v>
      </c>
      <c r="E60" s="5" t="s">
        <v>37</v>
      </c>
      <c r="F60" s="5" t="s">
        <v>38</v>
      </c>
      <c r="G60" s="5" t="s">
        <v>39</v>
      </c>
      <c r="H60" s="5">
        <v>665100378</v>
      </c>
      <c r="I60" s="6">
        <v>45480</v>
      </c>
      <c r="J60" s="5">
        <v>2024</v>
      </c>
      <c r="K60" s="5">
        <v>7</v>
      </c>
      <c r="L60" s="10">
        <v>199274.05</v>
      </c>
      <c r="M60" s="10">
        <v>85466.49</v>
      </c>
      <c r="N60" s="10">
        <v>48536.57</v>
      </c>
      <c r="O60" s="10">
        <v>1839.85</v>
      </c>
      <c r="P60" s="10">
        <v>19055.23</v>
      </c>
      <c r="Q60" s="10">
        <v>1742.11</v>
      </c>
      <c r="R60" s="10">
        <v>7064.18</v>
      </c>
      <c r="S60" s="10">
        <v>8978.89</v>
      </c>
      <c r="T60" s="10">
        <v>2372.14</v>
      </c>
      <c r="U60" s="10">
        <f t="shared" si="1"/>
        <v>175055.46000000002</v>
      </c>
      <c r="V60" s="10">
        <f t="shared" si="2"/>
        <v>24218.589999999967</v>
      </c>
      <c r="W60" s="10">
        <v>3743.3</v>
      </c>
    </row>
    <row r="61" spans="3:23" x14ac:dyDescent="0.3">
      <c r="C61" s="5" t="s">
        <v>35</v>
      </c>
      <c r="D61" s="5" t="s">
        <v>36</v>
      </c>
      <c r="E61" s="5" t="s">
        <v>37</v>
      </c>
      <c r="F61" s="5" t="s">
        <v>40</v>
      </c>
      <c r="G61" s="5" t="s">
        <v>41</v>
      </c>
      <c r="H61" s="5">
        <v>665100379</v>
      </c>
      <c r="I61" s="6">
        <v>45508</v>
      </c>
      <c r="J61" s="5">
        <v>2024</v>
      </c>
      <c r="K61" s="5">
        <v>8</v>
      </c>
      <c r="L61" s="10">
        <v>152550.9</v>
      </c>
      <c r="M61" s="10">
        <v>72032.03</v>
      </c>
      <c r="N61" s="10">
        <v>16517.7</v>
      </c>
      <c r="O61" s="10">
        <v>617.99</v>
      </c>
      <c r="P61" s="10">
        <v>4606.97</v>
      </c>
      <c r="Q61" s="10">
        <v>585.36</v>
      </c>
      <c r="R61" s="10">
        <v>4828.2700000000004</v>
      </c>
      <c r="S61" s="10">
        <v>3005.75</v>
      </c>
      <c r="T61" s="10">
        <v>1163.24</v>
      </c>
      <c r="U61" s="10">
        <f t="shared" si="1"/>
        <v>103357.31000000001</v>
      </c>
      <c r="V61" s="10">
        <f t="shared" si="2"/>
        <v>49193.589999999982</v>
      </c>
      <c r="W61" s="10">
        <v>22684.38</v>
      </c>
    </row>
    <row r="62" spans="3:23" x14ac:dyDescent="0.3">
      <c r="C62" s="5" t="s">
        <v>35</v>
      </c>
      <c r="D62" s="5" t="s">
        <v>36</v>
      </c>
      <c r="E62" s="5" t="s">
        <v>37</v>
      </c>
      <c r="F62" s="5" t="s">
        <v>42</v>
      </c>
      <c r="G62" s="5" t="s">
        <v>43</v>
      </c>
      <c r="H62" s="5">
        <v>665100380</v>
      </c>
      <c r="I62" s="6">
        <v>45539</v>
      </c>
      <c r="J62" s="5">
        <v>2024</v>
      </c>
      <c r="K62" s="5">
        <v>9</v>
      </c>
      <c r="L62" s="10">
        <v>519225.05</v>
      </c>
      <c r="M62" s="10">
        <v>267190.98</v>
      </c>
      <c r="N62" s="10">
        <v>53207.34</v>
      </c>
      <c r="O62" s="10">
        <v>2337.27</v>
      </c>
      <c r="P62" s="10">
        <v>18686.53</v>
      </c>
      <c r="Q62" s="10">
        <v>2392.56</v>
      </c>
      <c r="R62" s="10">
        <v>19782.25</v>
      </c>
      <c r="S62" s="10">
        <v>11249.38</v>
      </c>
      <c r="T62" s="10">
        <v>4290.68</v>
      </c>
      <c r="U62" s="10">
        <f t="shared" si="1"/>
        <v>379136.99</v>
      </c>
      <c r="V62" s="10">
        <f t="shared" si="2"/>
        <v>140088.06</v>
      </c>
      <c r="W62" s="10">
        <v>89853.74</v>
      </c>
    </row>
    <row r="63" spans="3:23" x14ac:dyDescent="0.3">
      <c r="C63" s="5" t="s">
        <v>35</v>
      </c>
      <c r="D63" s="5" t="s">
        <v>36</v>
      </c>
      <c r="E63" s="5" t="s">
        <v>37</v>
      </c>
      <c r="F63" s="5" t="s">
        <v>38</v>
      </c>
      <c r="G63" s="5" t="s">
        <v>39</v>
      </c>
      <c r="H63" s="5">
        <v>665100381</v>
      </c>
      <c r="I63" s="6">
        <v>45604</v>
      </c>
      <c r="J63" s="5">
        <v>2024</v>
      </c>
      <c r="K63" s="5">
        <v>11</v>
      </c>
      <c r="L63" s="10">
        <v>374480.9</v>
      </c>
      <c r="M63" s="10">
        <v>125641.42</v>
      </c>
      <c r="N63" s="10">
        <v>45963.78</v>
      </c>
      <c r="O63" s="10">
        <v>1768.01</v>
      </c>
      <c r="P63" s="10">
        <v>6853.49</v>
      </c>
      <c r="Q63" s="10">
        <v>1900.54</v>
      </c>
      <c r="R63" s="10">
        <v>12740.62</v>
      </c>
      <c r="S63" s="10">
        <v>9219.7000000000007</v>
      </c>
      <c r="T63" s="10">
        <v>2413.17</v>
      </c>
      <c r="U63" s="10">
        <f t="shared" si="1"/>
        <v>206500.73000000004</v>
      </c>
      <c r="V63" s="10">
        <f t="shared" si="2"/>
        <v>167980.16999999998</v>
      </c>
      <c r="W63" s="10">
        <v>106606.42</v>
      </c>
    </row>
    <row r="64" spans="3:23" x14ac:dyDescent="0.3">
      <c r="C64" s="5" t="s">
        <v>35</v>
      </c>
      <c r="D64" s="5" t="s">
        <v>36</v>
      </c>
      <c r="E64" s="5" t="s">
        <v>37</v>
      </c>
      <c r="F64" s="5" t="s">
        <v>42</v>
      </c>
      <c r="G64" s="5" t="s">
        <v>43</v>
      </c>
      <c r="H64" s="5">
        <v>665100380</v>
      </c>
      <c r="I64" s="6">
        <v>45607</v>
      </c>
      <c r="J64" s="5">
        <v>2024</v>
      </c>
      <c r="K64" s="5">
        <v>11</v>
      </c>
      <c r="L64" s="10">
        <v>571771.15</v>
      </c>
      <c r="M64" s="10">
        <v>339078.49</v>
      </c>
      <c r="N64" s="10">
        <v>67186.070000000007</v>
      </c>
      <c r="O64" s="10">
        <v>2850.68</v>
      </c>
      <c r="P64" s="10">
        <v>21621.39</v>
      </c>
      <c r="Q64" s="10">
        <v>3068.13</v>
      </c>
      <c r="R64" s="10">
        <v>24242.9</v>
      </c>
      <c r="S64" s="10">
        <v>14475.32</v>
      </c>
      <c r="T64" s="10">
        <v>5372.44</v>
      </c>
      <c r="U64" s="10">
        <f t="shared" si="1"/>
        <v>477895.42000000004</v>
      </c>
      <c r="V64" s="10">
        <f t="shared" si="2"/>
        <v>93875.729999999981</v>
      </c>
      <c r="W64" s="10">
        <v>36062.58</v>
      </c>
    </row>
    <row r="65" spans="3:23" x14ac:dyDescent="0.3">
      <c r="C65" s="5" t="s">
        <v>35</v>
      </c>
      <c r="D65" s="5" t="s">
        <v>36</v>
      </c>
      <c r="E65" s="5" t="s">
        <v>37</v>
      </c>
      <c r="F65" s="5" t="s">
        <v>40</v>
      </c>
      <c r="G65" s="5" t="s">
        <v>41</v>
      </c>
      <c r="H65" s="5">
        <v>665100382</v>
      </c>
      <c r="I65" s="6">
        <v>45632</v>
      </c>
      <c r="J65" s="5">
        <v>2024</v>
      </c>
      <c r="K65" s="5">
        <v>12</v>
      </c>
      <c r="L65" s="10">
        <v>125815.99</v>
      </c>
      <c r="M65" s="10">
        <v>79151.509999999995</v>
      </c>
      <c r="N65" s="10">
        <v>16149.77</v>
      </c>
      <c r="O65" s="10">
        <v>665.16</v>
      </c>
      <c r="P65" s="10">
        <v>4695.25</v>
      </c>
      <c r="Q65" s="10">
        <v>629.29999999999995</v>
      </c>
      <c r="R65" s="10">
        <v>4633.53</v>
      </c>
      <c r="S65" s="10">
        <v>2904.53</v>
      </c>
      <c r="T65" s="10">
        <v>1303.21</v>
      </c>
      <c r="U65" s="10">
        <f t="shared" si="1"/>
        <v>110132.26000000001</v>
      </c>
      <c r="V65" s="10">
        <f t="shared" si="2"/>
        <v>15683.729999999996</v>
      </c>
      <c r="W65" s="10">
        <v>9775.7999999999993</v>
      </c>
    </row>
    <row r="66" spans="3:23" x14ac:dyDescent="0.3">
      <c r="C66" s="5" t="s">
        <v>35</v>
      </c>
      <c r="D66" s="5" t="s">
        <v>36</v>
      </c>
      <c r="E66" s="5" t="s">
        <v>37</v>
      </c>
      <c r="F66" s="5" t="s">
        <v>44</v>
      </c>
      <c r="G66" s="5" t="s">
        <v>45</v>
      </c>
      <c r="H66" s="5">
        <v>665100383</v>
      </c>
      <c r="I66" s="6">
        <v>45641</v>
      </c>
      <c r="J66" s="5">
        <v>2024</v>
      </c>
      <c r="K66" s="5">
        <v>12</v>
      </c>
      <c r="L66" s="10">
        <v>357464.94</v>
      </c>
      <c r="M66" s="10">
        <v>76359.600000000006</v>
      </c>
      <c r="N66" s="10">
        <v>15907.66</v>
      </c>
      <c r="O66" s="10">
        <v>599.1</v>
      </c>
      <c r="P66" s="10">
        <v>4888.8</v>
      </c>
      <c r="Q66" s="10">
        <v>600.20000000000005</v>
      </c>
      <c r="R66" s="10">
        <v>5119.2</v>
      </c>
      <c r="S66" s="10">
        <v>3116.47</v>
      </c>
      <c r="T66" s="10">
        <v>1228.28</v>
      </c>
      <c r="U66" s="10">
        <f t="shared" si="1"/>
        <v>107819.31000000001</v>
      </c>
      <c r="V66" s="10">
        <f t="shared" si="2"/>
        <v>249645.63</v>
      </c>
      <c r="W66" s="10">
        <v>33128</v>
      </c>
    </row>
    <row r="67" spans="3:23" x14ac:dyDescent="0.3">
      <c r="C67" s="5" t="s">
        <v>35</v>
      </c>
      <c r="D67" s="5" t="s">
        <v>36</v>
      </c>
      <c r="E67" s="5" t="s">
        <v>37</v>
      </c>
      <c r="F67" s="5" t="s">
        <v>38</v>
      </c>
      <c r="G67" s="5" t="s">
        <v>39</v>
      </c>
      <c r="H67" s="5">
        <v>665100384</v>
      </c>
      <c r="I67" s="6">
        <v>45666</v>
      </c>
      <c r="J67" s="5">
        <v>2025</v>
      </c>
      <c r="K67" s="5">
        <v>1</v>
      </c>
      <c r="L67" s="10">
        <v>451864.33</v>
      </c>
      <c r="M67" s="10">
        <v>190587.66</v>
      </c>
      <c r="N67" s="10">
        <v>52969.38</v>
      </c>
      <c r="O67" s="10">
        <v>7145.15</v>
      </c>
      <c r="P67" s="10">
        <v>23209.25</v>
      </c>
      <c r="Q67" s="10">
        <v>8942.34</v>
      </c>
      <c r="R67" s="10">
        <v>23218.16</v>
      </c>
      <c r="S67" s="10">
        <v>23286.639999999999</v>
      </c>
      <c r="T67" s="10">
        <v>11965.3</v>
      </c>
      <c r="U67" s="10">
        <f t="shared" si="1"/>
        <v>341323.88</v>
      </c>
      <c r="V67" s="10">
        <f t="shared" si="2"/>
        <v>110540.45000000001</v>
      </c>
      <c r="W67" s="10">
        <v>41691.93</v>
      </c>
    </row>
    <row r="68" spans="3:23" x14ac:dyDescent="0.3">
      <c r="C68" s="5" t="s">
        <v>35</v>
      </c>
      <c r="D68" s="5" t="s">
        <v>36</v>
      </c>
      <c r="E68" s="5" t="s">
        <v>37</v>
      </c>
      <c r="F68" s="5" t="s">
        <v>40</v>
      </c>
      <c r="G68" s="5" t="s">
        <v>39</v>
      </c>
      <c r="H68" s="5">
        <v>665100384</v>
      </c>
      <c r="I68" s="6">
        <v>45666</v>
      </c>
      <c r="J68" s="5">
        <v>2025</v>
      </c>
      <c r="K68" s="5">
        <v>1</v>
      </c>
      <c r="L68" s="10">
        <v>433494.64</v>
      </c>
      <c r="M68" s="10">
        <v>190130.2</v>
      </c>
      <c r="N68" s="10">
        <v>48292.09</v>
      </c>
      <c r="O68" s="10">
        <v>6673.17</v>
      </c>
      <c r="P68" s="10">
        <v>24069.31</v>
      </c>
      <c r="Q68" s="10">
        <v>9192.49</v>
      </c>
      <c r="R68" s="10">
        <v>22356.83</v>
      </c>
      <c r="S68" s="10">
        <v>22699.66</v>
      </c>
      <c r="T68" s="10">
        <v>12425.27</v>
      </c>
      <c r="U68" s="10">
        <f t="shared" ref="U68:U82" si="3">SUM(M68:T68)</f>
        <v>335839.02</v>
      </c>
      <c r="V68" s="10">
        <f t="shared" ref="V68:V82" si="4">L68-U68</f>
        <v>97655.62</v>
      </c>
      <c r="W68" s="10">
        <v>50011.11</v>
      </c>
    </row>
    <row r="69" spans="3:23" x14ac:dyDescent="0.3">
      <c r="C69" s="5" t="s">
        <v>35</v>
      </c>
      <c r="D69" s="5" t="s">
        <v>36</v>
      </c>
      <c r="E69" s="5" t="s">
        <v>37</v>
      </c>
      <c r="F69" s="5" t="s">
        <v>40</v>
      </c>
      <c r="G69" s="5" t="s">
        <v>41</v>
      </c>
      <c r="H69" s="5">
        <v>665100385</v>
      </c>
      <c r="I69" s="6">
        <v>45673</v>
      </c>
      <c r="J69" s="5">
        <v>2025</v>
      </c>
      <c r="K69" s="5">
        <v>1</v>
      </c>
      <c r="L69" s="10">
        <v>318475.45</v>
      </c>
      <c r="M69" s="10">
        <v>202963.15</v>
      </c>
      <c r="N69" s="10">
        <v>42958.65</v>
      </c>
      <c r="O69" s="10">
        <v>3529.66</v>
      </c>
      <c r="P69" s="10">
        <v>15430.87</v>
      </c>
      <c r="Q69" s="10">
        <v>1877.5</v>
      </c>
      <c r="R69" s="10">
        <v>13469.08</v>
      </c>
      <c r="S69" s="10">
        <v>3485.7</v>
      </c>
      <c r="T69" s="10">
        <v>1347.78</v>
      </c>
      <c r="U69" s="10">
        <f t="shared" si="3"/>
        <v>285062.39000000007</v>
      </c>
      <c r="V69" s="10">
        <f t="shared" si="4"/>
        <v>33413.059999999939</v>
      </c>
      <c r="W69" s="10">
        <v>8903.26</v>
      </c>
    </row>
    <row r="70" spans="3:23" x14ac:dyDescent="0.3">
      <c r="C70" s="5" t="s">
        <v>35</v>
      </c>
      <c r="D70" s="5" t="s">
        <v>36</v>
      </c>
      <c r="E70" s="5" t="s">
        <v>37</v>
      </c>
      <c r="F70" s="5" t="s">
        <v>42</v>
      </c>
      <c r="G70" s="5" t="s">
        <v>43</v>
      </c>
      <c r="H70" s="5">
        <v>665100386</v>
      </c>
      <c r="I70" s="6">
        <v>45680</v>
      </c>
      <c r="J70" s="5">
        <v>2025</v>
      </c>
      <c r="K70" s="5">
        <v>1</v>
      </c>
      <c r="L70" s="10">
        <v>508340.51</v>
      </c>
      <c r="M70" s="10">
        <v>308433.19</v>
      </c>
      <c r="N70" s="10">
        <v>59177.24</v>
      </c>
      <c r="O70" s="10">
        <v>2514.66</v>
      </c>
      <c r="P70" s="10">
        <v>19247.03</v>
      </c>
      <c r="Q70" s="10">
        <v>2550.4899999999998</v>
      </c>
      <c r="R70" s="10">
        <v>20430.189999999999</v>
      </c>
      <c r="S70" s="10">
        <v>13501.66</v>
      </c>
      <c r="T70" s="10">
        <v>4722.97</v>
      </c>
      <c r="U70" s="10">
        <f t="shared" si="3"/>
        <v>430577.42999999993</v>
      </c>
      <c r="V70" s="10">
        <f t="shared" si="4"/>
        <v>77763.080000000075</v>
      </c>
      <c r="W70" s="10">
        <v>52067.519999999997</v>
      </c>
    </row>
    <row r="71" spans="3:23" x14ac:dyDescent="0.3">
      <c r="C71" s="5" t="s">
        <v>35</v>
      </c>
      <c r="D71" s="5" t="s">
        <v>36</v>
      </c>
      <c r="E71" s="5" t="s">
        <v>37</v>
      </c>
      <c r="F71" s="5" t="s">
        <v>42</v>
      </c>
      <c r="G71" s="5" t="s">
        <v>43</v>
      </c>
      <c r="H71" s="5">
        <v>665100386</v>
      </c>
      <c r="I71" s="6">
        <v>45680</v>
      </c>
      <c r="J71" s="5">
        <v>2025</v>
      </c>
      <c r="K71" s="5">
        <v>1</v>
      </c>
      <c r="L71" s="10">
        <v>583933.14</v>
      </c>
      <c r="M71" s="10">
        <v>290720.24</v>
      </c>
      <c r="N71" s="10">
        <v>62647.27</v>
      </c>
      <c r="O71" s="10">
        <v>2474.5500000000002</v>
      </c>
      <c r="P71" s="10">
        <v>19368.88</v>
      </c>
      <c r="Q71" s="10">
        <v>2437.36</v>
      </c>
      <c r="R71" s="10">
        <v>18867.43</v>
      </c>
      <c r="S71" s="10">
        <v>12767.18</v>
      </c>
      <c r="T71" s="10">
        <v>5391.13</v>
      </c>
      <c r="U71" s="10">
        <f t="shared" si="3"/>
        <v>414674.04</v>
      </c>
      <c r="V71" s="10">
        <f t="shared" si="4"/>
        <v>169259.10000000003</v>
      </c>
      <c r="W71" s="10">
        <v>119052.71</v>
      </c>
    </row>
    <row r="72" spans="3:23" x14ac:dyDescent="0.3">
      <c r="C72" s="5" t="s">
        <v>35</v>
      </c>
      <c r="D72" s="5" t="s">
        <v>36</v>
      </c>
      <c r="E72" s="5" t="s">
        <v>37</v>
      </c>
      <c r="F72" s="5" t="s">
        <v>38</v>
      </c>
      <c r="G72" s="5" t="s">
        <v>39</v>
      </c>
      <c r="H72" s="5">
        <v>665100387</v>
      </c>
      <c r="I72" s="6">
        <v>45721</v>
      </c>
      <c r="J72" s="5">
        <v>2025</v>
      </c>
      <c r="K72" s="5">
        <v>3</v>
      </c>
      <c r="L72" s="10">
        <v>220579</v>
      </c>
      <c r="M72" s="10">
        <v>97752.09</v>
      </c>
      <c r="N72" s="10">
        <v>50067.14</v>
      </c>
      <c r="O72" s="10">
        <v>3081.98</v>
      </c>
      <c r="P72" s="10">
        <v>17301.599999999999</v>
      </c>
      <c r="Q72" s="10">
        <v>1940.32</v>
      </c>
      <c r="R72" s="10">
        <v>12455.52</v>
      </c>
      <c r="S72" s="10">
        <v>4813.88</v>
      </c>
      <c r="T72" s="10">
        <v>5521.74</v>
      </c>
      <c r="U72" s="10">
        <f t="shared" si="3"/>
        <v>192934.27</v>
      </c>
      <c r="V72" s="10">
        <f t="shared" si="4"/>
        <v>27644.73000000001</v>
      </c>
      <c r="W72" s="10">
        <v>4915.22</v>
      </c>
    </row>
    <row r="73" spans="3:23" x14ac:dyDescent="0.3">
      <c r="C73" s="5" t="s">
        <v>35</v>
      </c>
      <c r="D73" s="5" t="s">
        <v>36</v>
      </c>
      <c r="E73" s="5" t="s">
        <v>37</v>
      </c>
      <c r="F73" s="5" t="s">
        <v>38</v>
      </c>
      <c r="G73" s="5" t="s">
        <v>39</v>
      </c>
      <c r="H73" s="5">
        <v>665100387</v>
      </c>
      <c r="I73" s="6">
        <v>45721</v>
      </c>
      <c r="J73" s="5">
        <v>2025</v>
      </c>
      <c r="K73" s="5">
        <v>3</v>
      </c>
      <c r="L73" s="10">
        <v>251316.42</v>
      </c>
      <c r="M73" s="10">
        <v>105347.92</v>
      </c>
      <c r="N73" s="10">
        <v>47433.94</v>
      </c>
      <c r="O73" s="10">
        <v>3282.47</v>
      </c>
      <c r="P73" s="10">
        <v>18440.95</v>
      </c>
      <c r="Q73" s="10">
        <v>1996.33</v>
      </c>
      <c r="R73" s="10">
        <v>13348.93</v>
      </c>
      <c r="S73" s="10">
        <v>4326.05</v>
      </c>
      <c r="T73" s="10">
        <v>5571.85</v>
      </c>
      <c r="U73" s="10">
        <f t="shared" si="3"/>
        <v>199748.43999999997</v>
      </c>
      <c r="V73" s="10">
        <f t="shared" si="4"/>
        <v>51567.98000000004</v>
      </c>
      <c r="W73" s="10">
        <v>4485.21</v>
      </c>
    </row>
    <row r="74" spans="3:23" x14ac:dyDescent="0.3">
      <c r="C74" s="5" t="s">
        <v>35</v>
      </c>
      <c r="D74" s="5" t="s">
        <v>36</v>
      </c>
      <c r="E74" s="5" t="s">
        <v>37</v>
      </c>
      <c r="F74" s="5" t="s">
        <v>40</v>
      </c>
      <c r="G74" s="5" t="s">
        <v>41</v>
      </c>
      <c r="H74" s="5">
        <v>665100388</v>
      </c>
      <c r="I74" s="6">
        <v>45749</v>
      </c>
      <c r="J74" s="5">
        <v>2025</v>
      </c>
      <c r="K74" s="5">
        <v>4</v>
      </c>
      <c r="L74" s="10">
        <v>139051.04999999999</v>
      </c>
      <c r="M74" s="10">
        <v>73397.279999999999</v>
      </c>
      <c r="N74" s="10">
        <v>16356.19</v>
      </c>
      <c r="O74" s="10">
        <v>618.19000000000005</v>
      </c>
      <c r="P74" s="10">
        <v>5519.41</v>
      </c>
      <c r="Q74" s="10">
        <v>707.7</v>
      </c>
      <c r="R74" s="10">
        <v>5660.17</v>
      </c>
      <c r="S74" s="10">
        <v>3302.8</v>
      </c>
      <c r="T74" s="10">
        <v>1302.23</v>
      </c>
      <c r="U74" s="10">
        <f t="shared" si="3"/>
        <v>106863.97</v>
      </c>
      <c r="V74" s="10">
        <f t="shared" si="4"/>
        <v>32187.079999999987</v>
      </c>
      <c r="W74" s="10">
        <v>15852.66</v>
      </c>
    </row>
    <row r="75" spans="3:23" x14ac:dyDescent="0.3">
      <c r="C75" s="5" t="s">
        <v>35</v>
      </c>
      <c r="D75" s="5" t="s">
        <v>36</v>
      </c>
      <c r="E75" s="5" t="s">
        <v>37</v>
      </c>
      <c r="F75" s="5" t="s">
        <v>42</v>
      </c>
      <c r="G75" s="5" t="s">
        <v>43</v>
      </c>
      <c r="H75" s="5">
        <v>665100389</v>
      </c>
      <c r="I75" s="6">
        <v>45780</v>
      </c>
      <c r="J75" s="5">
        <v>2025</v>
      </c>
      <c r="K75" s="5">
        <v>5</v>
      </c>
      <c r="L75" s="10">
        <v>535935.85</v>
      </c>
      <c r="M75" s="10">
        <v>301283.15999999997</v>
      </c>
      <c r="N75" s="10">
        <v>62407.79</v>
      </c>
      <c r="O75" s="10">
        <v>2423.36</v>
      </c>
      <c r="P75" s="10">
        <v>19647.75</v>
      </c>
      <c r="Q75" s="10">
        <v>2692.11</v>
      </c>
      <c r="R75" s="10">
        <v>21376.28</v>
      </c>
      <c r="S75" s="10">
        <v>12932.93</v>
      </c>
      <c r="T75" s="10">
        <v>4899.0600000000004</v>
      </c>
      <c r="U75" s="10">
        <f t="shared" si="3"/>
        <v>427662.43999999994</v>
      </c>
      <c r="V75" s="10">
        <f t="shared" si="4"/>
        <v>108273.41000000003</v>
      </c>
      <c r="W75" s="10">
        <v>43073.86</v>
      </c>
    </row>
    <row r="76" spans="3:23" x14ac:dyDescent="0.3">
      <c r="C76" s="5" t="s">
        <v>35</v>
      </c>
      <c r="D76" s="5" t="s">
        <v>36</v>
      </c>
      <c r="E76" s="5" t="s">
        <v>37</v>
      </c>
      <c r="F76" s="5" t="s">
        <v>38</v>
      </c>
      <c r="G76" s="5" t="s">
        <v>39</v>
      </c>
      <c r="H76" s="5">
        <v>665100390</v>
      </c>
      <c r="I76" s="6">
        <v>45845</v>
      </c>
      <c r="J76" s="5">
        <v>2025</v>
      </c>
      <c r="K76" s="5">
        <v>7</v>
      </c>
      <c r="L76" s="10">
        <v>222594.97</v>
      </c>
      <c r="M76" s="10">
        <v>89955.520000000004</v>
      </c>
      <c r="N76" s="10">
        <v>52270.49</v>
      </c>
      <c r="O76" s="10">
        <v>1960.59</v>
      </c>
      <c r="P76" s="10">
        <v>20736.509999999998</v>
      </c>
      <c r="Q76" s="10">
        <v>1906.83</v>
      </c>
      <c r="R76" s="10">
        <v>7787.12</v>
      </c>
      <c r="S76" s="10">
        <v>10015.75</v>
      </c>
      <c r="T76" s="10">
        <v>2661.75</v>
      </c>
      <c r="U76" s="10">
        <f t="shared" si="3"/>
        <v>187294.56</v>
      </c>
      <c r="V76" s="10">
        <f t="shared" si="4"/>
        <v>35300.410000000003</v>
      </c>
      <c r="W76" s="10">
        <v>3992.6</v>
      </c>
    </row>
    <row r="77" spans="3:23" x14ac:dyDescent="0.3">
      <c r="C77" s="5" t="s">
        <v>35</v>
      </c>
      <c r="D77" s="5" t="s">
        <v>36</v>
      </c>
      <c r="E77" s="5" t="s">
        <v>37</v>
      </c>
      <c r="F77" s="5" t="s">
        <v>40</v>
      </c>
      <c r="G77" s="5" t="s">
        <v>41</v>
      </c>
      <c r="H77" s="5">
        <v>665100391</v>
      </c>
      <c r="I77" s="6">
        <v>45873</v>
      </c>
      <c r="J77" s="5">
        <v>2025</v>
      </c>
      <c r="K77" s="5">
        <v>8</v>
      </c>
      <c r="L77" s="10">
        <v>171819.85</v>
      </c>
      <c r="M77" s="10">
        <v>80236.3</v>
      </c>
      <c r="N77" s="10">
        <v>18206.8</v>
      </c>
      <c r="O77" s="10">
        <v>681.33</v>
      </c>
      <c r="P77" s="10">
        <v>4954.5</v>
      </c>
      <c r="Q77" s="10">
        <v>619.23</v>
      </c>
      <c r="R77" s="10">
        <v>5123.25</v>
      </c>
      <c r="S77" s="10">
        <v>3307.73</v>
      </c>
      <c r="T77" s="10">
        <v>1261.45</v>
      </c>
      <c r="U77" s="10">
        <f t="shared" si="3"/>
        <v>114390.59</v>
      </c>
      <c r="V77" s="10">
        <f t="shared" si="4"/>
        <v>57429.260000000009</v>
      </c>
      <c r="W77" s="10">
        <v>23878.77</v>
      </c>
    </row>
    <row r="78" spans="3:23" x14ac:dyDescent="0.3">
      <c r="C78" s="5" t="s">
        <v>35</v>
      </c>
      <c r="D78" s="5" t="s">
        <v>36</v>
      </c>
      <c r="E78" s="5" t="s">
        <v>37</v>
      </c>
      <c r="F78" s="5" t="s">
        <v>42</v>
      </c>
      <c r="G78" s="5" t="s">
        <v>43</v>
      </c>
      <c r="H78" s="5">
        <v>665100392</v>
      </c>
      <c r="I78" s="6">
        <v>45904</v>
      </c>
      <c r="J78" s="5">
        <v>2025</v>
      </c>
      <c r="K78" s="5">
        <v>9</v>
      </c>
      <c r="L78" s="10">
        <v>576916.86</v>
      </c>
      <c r="M78" s="10">
        <v>287829.5</v>
      </c>
      <c r="N78" s="10">
        <v>59130.400000000001</v>
      </c>
      <c r="O78" s="10">
        <v>2630.13</v>
      </c>
      <c r="P78" s="10">
        <v>20870.099999999999</v>
      </c>
      <c r="Q78" s="10">
        <v>2637.07</v>
      </c>
      <c r="R78" s="10">
        <v>21475.65</v>
      </c>
      <c r="S78" s="10">
        <v>12109.99</v>
      </c>
      <c r="T78" s="10">
        <v>4707.0200000000004</v>
      </c>
      <c r="U78" s="10">
        <f t="shared" si="3"/>
        <v>411389.86000000004</v>
      </c>
      <c r="V78" s="10">
        <f t="shared" si="4"/>
        <v>165526.99999999994</v>
      </c>
      <c r="W78" s="10">
        <v>97898.18</v>
      </c>
    </row>
    <row r="79" spans="3:23" x14ac:dyDescent="0.3">
      <c r="C79" s="5" t="s">
        <v>35</v>
      </c>
      <c r="D79" s="5" t="s">
        <v>36</v>
      </c>
      <c r="E79" s="5" t="s">
        <v>37</v>
      </c>
      <c r="F79" s="5" t="s">
        <v>38</v>
      </c>
      <c r="G79" s="5" t="s">
        <v>39</v>
      </c>
      <c r="H79" s="5">
        <v>665100393</v>
      </c>
      <c r="I79" s="6">
        <v>45969</v>
      </c>
      <c r="J79" s="5">
        <v>2025</v>
      </c>
      <c r="K79" s="5">
        <v>11</v>
      </c>
      <c r="L79" s="10">
        <v>413092.23</v>
      </c>
      <c r="M79" s="10">
        <v>136206.57</v>
      </c>
      <c r="N79" s="10">
        <v>49107.11</v>
      </c>
      <c r="O79" s="10">
        <v>1939.17</v>
      </c>
      <c r="P79" s="10">
        <v>7647.77</v>
      </c>
      <c r="Q79" s="10">
        <v>2040.6</v>
      </c>
      <c r="R79" s="10">
        <v>14296.22</v>
      </c>
      <c r="S79" s="10">
        <v>9885.4</v>
      </c>
      <c r="T79" s="10">
        <v>2691.78</v>
      </c>
      <c r="U79" s="10">
        <f t="shared" si="3"/>
        <v>223814.62</v>
      </c>
      <c r="V79" s="10">
        <f t="shared" si="4"/>
        <v>189277.61</v>
      </c>
      <c r="W79" s="10">
        <v>112262.62</v>
      </c>
    </row>
    <row r="80" spans="3:23" x14ac:dyDescent="0.3">
      <c r="C80" s="5" t="s">
        <v>35</v>
      </c>
      <c r="D80" s="5" t="s">
        <v>36</v>
      </c>
      <c r="E80" s="5" t="s">
        <v>37</v>
      </c>
      <c r="F80" s="5" t="s">
        <v>42</v>
      </c>
      <c r="G80" s="5" t="s">
        <v>43</v>
      </c>
      <c r="H80" s="5">
        <v>665100392</v>
      </c>
      <c r="I80" s="6">
        <v>45972</v>
      </c>
      <c r="J80" s="5">
        <v>2025</v>
      </c>
      <c r="K80" s="5">
        <v>11</v>
      </c>
      <c r="L80" s="10">
        <v>603232.54</v>
      </c>
      <c r="M80" s="10">
        <v>362411.89</v>
      </c>
      <c r="N80" s="10">
        <v>76173.320000000007</v>
      </c>
      <c r="O80" s="10">
        <v>3113.9</v>
      </c>
      <c r="P80" s="10">
        <v>23377.42</v>
      </c>
      <c r="Q80" s="10">
        <v>3227.03</v>
      </c>
      <c r="R80" s="10">
        <v>25706.44</v>
      </c>
      <c r="S80" s="10">
        <v>16146.16</v>
      </c>
      <c r="T80" s="10">
        <v>5724.19</v>
      </c>
      <c r="U80" s="10">
        <f t="shared" si="3"/>
        <v>515880.35000000003</v>
      </c>
      <c r="V80" s="10">
        <f t="shared" si="4"/>
        <v>87352.19</v>
      </c>
      <c r="W80" s="10">
        <v>38286.480000000003</v>
      </c>
    </row>
    <row r="81" spans="3:23" x14ac:dyDescent="0.3">
      <c r="C81" s="5" t="s">
        <v>35</v>
      </c>
      <c r="D81" s="5" t="s">
        <v>36</v>
      </c>
      <c r="E81" s="5" t="s">
        <v>37</v>
      </c>
      <c r="F81" s="5" t="s">
        <v>40</v>
      </c>
      <c r="G81" s="5" t="s">
        <v>41</v>
      </c>
      <c r="H81" s="5">
        <v>665100394</v>
      </c>
      <c r="I81" s="6">
        <v>45997</v>
      </c>
      <c r="J81" s="5">
        <v>2025</v>
      </c>
      <c r="K81" s="5">
        <v>12</v>
      </c>
      <c r="L81" s="10">
        <v>137112.42000000001</v>
      </c>
      <c r="M81" s="10">
        <v>86857.74</v>
      </c>
      <c r="N81" s="10">
        <v>17735.919999999998</v>
      </c>
      <c r="O81" s="10">
        <v>699.34</v>
      </c>
      <c r="P81" s="10">
        <v>5006.8500000000004</v>
      </c>
      <c r="Q81" s="10">
        <v>665</v>
      </c>
      <c r="R81" s="10">
        <v>5114.3100000000004</v>
      </c>
      <c r="S81" s="10">
        <v>3241.82</v>
      </c>
      <c r="T81" s="10">
        <v>1401.77</v>
      </c>
      <c r="U81" s="10">
        <f t="shared" si="3"/>
        <v>120722.75000000001</v>
      </c>
      <c r="V81" s="10">
        <f t="shared" si="4"/>
        <v>16389.669999999998</v>
      </c>
      <c r="W81" s="10">
        <v>10676.84</v>
      </c>
    </row>
    <row r="82" spans="3:23" x14ac:dyDescent="0.3">
      <c r="C82" s="5" t="s">
        <v>35</v>
      </c>
      <c r="D82" s="5" t="s">
        <v>36</v>
      </c>
      <c r="E82" s="5" t="s">
        <v>37</v>
      </c>
      <c r="F82" s="5" t="s">
        <v>44</v>
      </c>
      <c r="G82" s="5" t="s">
        <v>45</v>
      </c>
      <c r="H82" s="5">
        <v>665100395</v>
      </c>
      <c r="I82" s="6">
        <v>46006</v>
      </c>
      <c r="J82" s="5">
        <v>2025</v>
      </c>
      <c r="K82" s="5">
        <v>12</v>
      </c>
      <c r="L82" s="10">
        <v>401478.11</v>
      </c>
      <c r="M82" s="10">
        <v>81373.66</v>
      </c>
      <c r="N82" s="10">
        <v>17024.98</v>
      </c>
      <c r="O82" s="10">
        <v>658.01</v>
      </c>
      <c r="P82" s="10">
        <v>5515.06</v>
      </c>
      <c r="Q82" s="10">
        <v>645.54999999999995</v>
      </c>
      <c r="R82" s="10">
        <v>5534.51</v>
      </c>
      <c r="S82" s="10">
        <v>3371.36</v>
      </c>
      <c r="T82" s="10">
        <v>1373.79</v>
      </c>
      <c r="U82" s="10">
        <f t="shared" si="3"/>
        <v>115496.91999999998</v>
      </c>
      <c r="V82" s="10">
        <f t="shared" si="4"/>
        <v>285981.19</v>
      </c>
      <c r="W82" s="10">
        <v>36059.730000000003</v>
      </c>
    </row>
  </sheetData>
  <autoFilter ref="C2:W82" xr:uid="{00000000-0001-0000-0000-000000000000}"/>
  <pageMargins left="0.75" right="0.75" top="1" bottom="1" header="0.5" footer="0.5"/>
  <ignoredErrors>
    <ignoredError sqref="U3:V8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10 SL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Anubhav Chakravarty</cp:lastModifiedBy>
  <cp:revision/>
  <dcterms:created xsi:type="dcterms:W3CDTF">2026-04-23T01:03:12Z</dcterms:created>
  <dcterms:modified xsi:type="dcterms:W3CDTF">2026-04-30T11:45:37Z</dcterms:modified>
  <cp:category/>
  <cp:contentStatus/>
</cp:coreProperties>
</file>